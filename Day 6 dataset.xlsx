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da Internship\Day 6\"/>
    </mc:Choice>
  </mc:AlternateContent>
  <xr:revisionPtr revIDLastSave="0" documentId="8_{CC3F574D-66A7-4BB6-8AE4-92F491CF6A5D}" xr6:coauthVersionLast="47" xr6:coauthVersionMax="47" xr10:uidLastSave="{00000000-0000-0000-0000-000000000000}"/>
  <bookViews>
    <workbookView xWindow="-108" yWindow="-108" windowWidth="23256" windowHeight="12456" firstSheet="1" activeTab="1" xr2:uid="{03858B6E-9ABC-446F-A056-500547387C1E}"/>
  </bookViews>
  <sheets>
    <sheet name="Sheet1" sheetId="1" r:id="rId1"/>
    <sheet name="Day6_Formulas" sheetId="3" r:id="rId2"/>
    <sheet name="Formula_Notes" sheetId="4" r:id="rId3"/>
  </sheets>
  <definedNames>
    <definedName name="Sales_Amount">Day6_Formulas!$A$8</definedName>
    <definedName name="Sales_Amount1">Sheet1!$J:$J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D13" i="3"/>
  <c r="D12" i="3"/>
  <c r="D11" i="3"/>
  <c r="D10" i="3"/>
  <c r="D9" i="3"/>
  <c r="D8" i="3"/>
  <c r="D7" i="3"/>
  <c r="D6" i="3"/>
  <c r="D5" i="3"/>
  <c r="B62" i="3"/>
  <c r="B60" i="3"/>
  <c r="B55" i="3"/>
  <c r="B54" i="3"/>
  <c r="B53" i="3"/>
  <c r="B52" i="3"/>
  <c r="B51" i="3"/>
  <c r="B50" i="3"/>
  <c r="B49" i="3"/>
  <c r="B45" i="3"/>
  <c r="B40" i="3"/>
  <c r="B38" i="3"/>
  <c r="B34" i="3"/>
  <c r="B29" i="3"/>
  <c r="B27" i="3"/>
  <c r="B21" i="3"/>
  <c r="B20" i="3"/>
  <c r="B16" i="3"/>
  <c r="B15" i="3"/>
  <c r="B14" i="3"/>
  <c r="B13" i="3"/>
  <c r="B9" i="3"/>
  <c r="B8" i="3"/>
  <c r="B23" i="3" s="1"/>
  <c r="B7" i="3"/>
</calcChain>
</file>

<file path=xl/sharedStrings.xml><?xml version="1.0" encoding="utf-8"?>
<sst xmlns="http://schemas.openxmlformats.org/spreadsheetml/2006/main" count="3641" uniqueCount="640">
  <si>
    <t>Order_ID</t>
  </si>
  <si>
    <t>Order_Date</t>
  </si>
  <si>
    <t>Ship_Date</t>
  </si>
  <si>
    <t>Customer_Name</t>
  </si>
  <si>
    <t>Segment</t>
  </si>
  <si>
    <t>Category</t>
  </si>
  <si>
    <t>Region</t>
  </si>
  <si>
    <t>City</t>
  </si>
  <si>
    <t>Product_Name</t>
  </si>
  <si>
    <t>Sales</t>
  </si>
  <si>
    <t>Quantity</t>
  </si>
  <si>
    <t>Discount</t>
  </si>
  <si>
    <t>Profit</t>
  </si>
  <si>
    <t>ORD-10001</t>
  </si>
  <si>
    <t>Rahul Singh</t>
  </si>
  <si>
    <t>Home Office</t>
  </si>
  <si>
    <t>Technology</t>
  </si>
  <si>
    <t>South</t>
  </si>
  <si>
    <t>Delhi</t>
  </si>
  <si>
    <t>Printer</t>
  </si>
  <si>
    <t>ORD-10002</t>
  </si>
  <si>
    <t>Priya Patil</t>
  </si>
  <si>
    <t>Consumer</t>
  </si>
  <si>
    <t>Furniture</t>
  </si>
  <si>
    <t>West</t>
  </si>
  <si>
    <t>Nashik</t>
  </si>
  <si>
    <t>Conference Table</t>
  </si>
  <si>
    <t>ORD-10003</t>
  </si>
  <si>
    <t>Sneha Kulkarni</t>
  </si>
  <si>
    <t>East</t>
  </si>
  <si>
    <t>Bengaluru</t>
  </si>
  <si>
    <t>Office Chair</t>
  </si>
  <si>
    <t>ORD-10004</t>
  </si>
  <si>
    <t>Aditya Joshi</t>
  </si>
  <si>
    <t>Office Supplies</t>
  </si>
  <si>
    <t>Central</t>
  </si>
  <si>
    <t>Mumbai</t>
  </si>
  <si>
    <t>Stapler</t>
  </si>
  <si>
    <t>ORD-10005</t>
  </si>
  <si>
    <t>Hyderabad</t>
  </si>
  <si>
    <t>Pen Set</t>
  </si>
  <si>
    <t>ORD-10006</t>
  </si>
  <si>
    <t>Corporate</t>
  </si>
  <si>
    <t>ORD-10007</t>
  </si>
  <si>
    <t>Chennai</t>
  </si>
  <si>
    <t>Desk</t>
  </si>
  <si>
    <t>ORD-10008</t>
  </si>
  <si>
    <t>Mouse</t>
  </si>
  <si>
    <t>ORD-10009</t>
  </si>
  <si>
    <t>Nagpur</t>
  </si>
  <si>
    <t>ORD-10010</t>
  </si>
  <si>
    <t>ORD-10011</t>
  </si>
  <si>
    <t>Neha Deshmukh</t>
  </si>
  <si>
    <t>Pune</t>
  </si>
  <si>
    <t>ORD-10012</t>
  </si>
  <si>
    <t>Bookshelf</t>
  </si>
  <si>
    <t>ORD-10013</t>
  </si>
  <si>
    <t>ORD-10014</t>
  </si>
  <si>
    <t>ORD-10015</t>
  </si>
  <si>
    <t>ORD-10016</t>
  </si>
  <si>
    <t>Laptop</t>
  </si>
  <si>
    <t>ORD-10017</t>
  </si>
  <si>
    <t>ORD-10018</t>
  </si>
  <si>
    <t>Aarav Sharma</t>
  </si>
  <si>
    <t>Monitor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</si>
  <si>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</si>
  <si>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</si>
  <si>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</si>
  <si>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</si>
  <si>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</si>
  <si>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</si>
  <si>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</si>
  <si>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</si>
  <si>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Notebook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</si>
  <si>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</si>
  <si>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</si>
  <si>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</si>
  <si>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</si>
  <si>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</si>
  <si>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</si>
  <si>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</si>
  <si>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</si>
  <si>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</si>
  <si>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</si>
  <si>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</si>
  <si>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</si>
  <si>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</si>
  <si>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Paper Pack</t>
  </si>
  <si>
    <t>ORD-10040</t>
  </si>
  <si>
    <t>ORD-10041</t>
  </si>
  <si>
    <t>ORD-10042</t>
  </si>
  <si>
    <t>ORD-10043</t>
  </si>
  <si>
    <t>ORD-10044</t>
  </si>
  <si>
    <t>ORD-10045</t>
  </si>
  <si>
    <t>ORD-10046</t>
  </si>
  <si>
    <t>File Folder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</si>
  <si>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</si>
  <si>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</si>
  <si>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</si>
  <si>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</si>
  <si>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</si>
  <si>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</si>
  <si>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</si>
  <si>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</si>
  <si>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</si>
  <si>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</si>
  <si>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</si>
  <si>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</si>
  <si>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</si>
  <si>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</si>
  <si>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</si>
  <si>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</si>
  <si>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Keyboard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</si>
  <si>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</si>
  <si>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</si>
  <si>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</si>
  <si>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</si>
  <si>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</si>
  <si>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</si>
  <si>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</si>
  <si>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</si>
  <si>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</si>
  <si>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</si>
  <si>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</si>
  <si>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</si>
  <si>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</si>
  <si>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</si>
  <si>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</si>
  <si>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</si>
  <si>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</si>
  <si>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</si>
  <si>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</si>
  <si>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</si>
  <si>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</si>
  <si>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</si>
  <si>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</si>
  <si>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</si>
  <si>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</si>
  <si>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</si>
  <si>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</si>
  <si>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</si>
  <si>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</si>
  <si>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</si>
  <si>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</si>
  <si>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</si>
  <si>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</si>
  <si>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</si>
  <si>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</si>
  <si>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</si>
  <si>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</si>
  <si>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</si>
  <si>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</si>
  <si>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</si>
  <si>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</si>
  <si>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</si>
  <si>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</si>
  <si>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</si>
  <si>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</si>
  <si>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</si>
  <si>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</si>
  <si>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</si>
  <si>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</si>
  <si>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</si>
  <si>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</si>
  <si>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</si>
  <si>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</si>
  <si>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</si>
  <si>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</si>
  <si>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</si>
  <si>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</si>
  <si>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</si>
  <si>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</si>
  <si>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</si>
  <si>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</si>
  <si>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</si>
  <si>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</si>
  <si>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</si>
  <si>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</si>
  <si>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</si>
  <si>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</si>
  <si>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</si>
  <si>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</si>
  <si>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</si>
  <si>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</si>
  <si>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</si>
  <si>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</si>
  <si>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</si>
  <si>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</si>
  <si>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</si>
  <si>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</si>
  <si>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</si>
  <si>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</si>
  <si>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</si>
  <si>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</si>
  <si>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</si>
  <si>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</si>
  <si>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</si>
  <si>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</si>
  <si>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</si>
  <si>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</si>
  <si>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</si>
  <si>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</si>
  <si>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</si>
  <si>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</si>
  <si>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</si>
  <si>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</si>
  <si>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</si>
  <si>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</si>
  <si>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</si>
  <si>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</si>
  <si>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</si>
  <si>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</si>
  <si>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</si>
  <si>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</si>
  <si>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</si>
  <si>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</si>
  <si>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</si>
  <si>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</si>
  <si>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</si>
  <si>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</si>
  <si>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</si>
  <si>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</si>
  <si>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</si>
  <si>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</si>
  <si>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</si>
  <si>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</si>
  <si>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</si>
  <si>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</si>
  <si>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</si>
  <si>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</si>
  <si>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</si>
  <si>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</si>
  <si>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</si>
  <si>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</si>
  <si>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</si>
  <si>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</si>
  <si>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</si>
  <si>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</si>
  <si>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</si>
  <si>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</si>
  <si>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</si>
  <si>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</si>
  <si>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</si>
  <si>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</si>
  <si>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</si>
  <si>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</si>
  <si>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</si>
  <si>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</si>
  <si>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</si>
  <si>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</si>
  <si>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</si>
  <si>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</si>
  <si>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</si>
  <si>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</si>
  <si>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</si>
  <si>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</si>
  <si>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</si>
  <si>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</si>
  <si>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</si>
  <si>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</si>
  <si>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</si>
  <si>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</si>
  <si>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</si>
  <si>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</si>
  <si>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</si>
  <si>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</si>
  <si>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</si>
  <si>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</si>
  <si>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</si>
  <si>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</si>
  <si>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</si>
  <si>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</si>
  <si>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</si>
  <si>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</si>
  <si>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</si>
  <si>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</si>
  <si>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</si>
  <si>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</si>
  <si>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</si>
  <si>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</si>
  <si>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</si>
  <si>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</si>
  <si>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</si>
  <si>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</si>
  <si>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</si>
  <si>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</si>
  <si>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</si>
  <si>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</si>
  <si>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</si>
  <si>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</si>
  <si>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</si>
  <si>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</si>
  <si>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</si>
  <si>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</si>
  <si>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</si>
  <si>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</si>
  <si>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</si>
  <si>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</si>
  <si>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</si>
  <si>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</si>
  <si>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</si>
  <si>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</si>
  <si>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</si>
  <si>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</si>
  <si>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</si>
  <si>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</si>
  <si>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</si>
  <si>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</si>
  <si>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</si>
  <si>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</si>
  <si>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</si>
  <si>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</si>
  <si>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</si>
  <si>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</si>
  <si>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</si>
  <si>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</si>
  <si>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</si>
  <si>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</si>
  <si>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</si>
  <si>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</si>
  <si>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</si>
  <si>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</si>
  <si>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</si>
  <si>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</si>
  <si>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</si>
  <si>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</si>
  <si>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</si>
  <si>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</si>
  <si>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</si>
  <si>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</si>
  <si>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</si>
  <si>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</si>
  <si>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</si>
  <si>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</si>
  <si>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</si>
  <si>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</si>
  <si>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</si>
  <si>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</si>
  <si>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</si>
  <si>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</si>
  <si>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</si>
  <si>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</si>
  <si>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</si>
  <si>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</si>
  <si>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</si>
  <si>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</si>
  <si>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</si>
  <si>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</si>
  <si>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</si>
  <si>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</si>
  <si>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</si>
  <si>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</si>
  <si>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</si>
  <si>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</si>
  <si>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</si>
  <si>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</si>
  <si>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</si>
  <si>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</si>
  <si>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</si>
  <si>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</si>
  <si>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</si>
  <si>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</si>
  <si>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</si>
  <si>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</si>
  <si>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</si>
  <si>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</si>
  <si>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</si>
  <si>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</si>
  <si>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</si>
  <si>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</si>
  <si>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</si>
  <si>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</si>
  <si>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</si>
  <si>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</si>
  <si>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</si>
  <si>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</si>
  <si>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</si>
  <si>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</si>
  <si>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</si>
  <si>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</si>
  <si>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</si>
  <si>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</si>
  <si>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</si>
  <si>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</si>
  <si>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</si>
  <si>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</si>
  <si>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</si>
  <si>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</si>
  <si>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</si>
  <si>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</si>
  <si>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</si>
  <si>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</si>
  <si>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</si>
  <si>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</si>
  <si>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</si>
  <si>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</si>
  <si>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</si>
  <si>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</si>
  <si>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</si>
  <si>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</si>
  <si>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</si>
  <si>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</si>
  <si>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</si>
  <si>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</si>
  <si>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</si>
  <si>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</si>
  <si>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</si>
  <si>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</si>
  <si>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</si>
  <si>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</si>
  <si>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</si>
  <si>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</si>
  <si>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</si>
  <si>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</si>
  <si>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</si>
  <si>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</si>
  <si>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</si>
  <si>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</si>
  <si>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</si>
  <si>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</si>
  <si>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</si>
  <si>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</si>
  <si>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</si>
  <si>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</si>
  <si>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</si>
  <si>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</si>
  <si>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</si>
  <si>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</si>
  <si>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</si>
  <si>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</si>
  <si>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</si>
  <si>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</si>
  <si>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</si>
  <si>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</si>
  <si>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</si>
  <si>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</si>
  <si>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</si>
  <si>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</si>
  <si>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</si>
  <si>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</si>
  <si>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</si>
  <si>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</si>
  <si>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</si>
  <si>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</si>
  <si>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</si>
  <si>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</si>
  <si>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</si>
  <si>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</si>
  <si>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</si>
  <si>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</si>
  <si>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</si>
  <si>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</si>
  <si>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</si>
  <si>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</si>
  <si>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</si>
  <si>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</si>
  <si>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</si>
  <si>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</si>
  <si>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</si>
  <si>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</si>
  <si>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</si>
  <si>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</si>
  <si>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</si>
  <si>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</si>
  <si>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</si>
  <si>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</si>
  <si>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</si>
  <si>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</si>
  <si>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</si>
  <si>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</si>
  <si>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</si>
  <si>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</si>
  <si>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</si>
  <si>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</si>
  <si>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</si>
  <si>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</si>
  <si>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</si>
  <si>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</si>
  <si>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</si>
  <si>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</si>
  <si>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</si>
  <si>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</si>
  <si>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</si>
  <si>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</si>
  <si>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</si>
  <si>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</si>
  <si>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</si>
  <si>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</si>
  <si>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</si>
  <si>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</si>
  <si>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</si>
  <si>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</si>
  <si>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</si>
  <si>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</si>
  <si>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</si>
  <si>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</si>
  <si>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</si>
  <si>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</si>
  <si>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</si>
  <si>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</si>
  <si>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</si>
  <si>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</si>
  <si>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</si>
  <si>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</si>
  <si>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</si>
  <si>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</si>
  <si>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</si>
  <si>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</si>
  <si>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</si>
  <si>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</si>
  <si>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</si>
  <si>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</si>
  <si>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</si>
  <si>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</si>
  <si>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</si>
  <si>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</si>
  <si>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</si>
  <si>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</si>
  <si>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</si>
  <si>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</si>
  <si>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</si>
  <si>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</si>
  <si>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</si>
  <si>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</si>
  <si>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</si>
  <si>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</si>
  <si>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</si>
  <si>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</si>
  <si>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</si>
  <si>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</si>
  <si>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</si>
  <si>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</si>
  <si>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</si>
  <si>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</si>
  <si>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</si>
  <si>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</si>
  <si>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</si>
  <si>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</si>
  <si>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</si>
  <si>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</si>
  <si>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</si>
  <si>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</si>
  <si>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</si>
  <si>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</si>
  <si>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</si>
  <si>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</si>
  <si>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</si>
  <si>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</si>
  <si>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</si>
  <si>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</si>
  <si>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</si>
  <si>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DAY 6 – EXCEL FORMULAS &amp; FUNCTIONS</t>
  </si>
  <si>
    <t>Sales Data Formula Practice</t>
  </si>
  <si>
    <t>Formula Category</t>
  </si>
  <si>
    <t>Input</t>
  </si>
  <si>
    <t>Formula</t>
  </si>
  <si>
    <t>Result</t>
  </si>
  <si>
    <t>XLOOKUP PRACTICE</t>
  </si>
  <si>
    <t>Enter Order ID</t>
  </si>
  <si>
    <t>Customer Name</t>
  </si>
  <si>
    <t>VLOOKUP PRACTICE</t>
  </si>
  <si>
    <t>IF FUNCTION</t>
  </si>
  <si>
    <t>Order ID</t>
  </si>
  <si>
    <t>Profit Status</t>
  </si>
  <si>
    <t>Sales Level</t>
  </si>
  <si>
    <t>SUMIF PRACTICE</t>
  </si>
  <si>
    <t>Technology Sales</t>
  </si>
  <si>
    <t>South Region Sales</t>
  </si>
  <si>
    <t>SUMIFS PRACTICE</t>
  </si>
  <si>
    <t>Technology Sales in South</t>
  </si>
  <si>
    <t>COUNTIF PRACTICE</t>
  </si>
  <si>
    <t>Technology Order Count</t>
  </si>
  <si>
    <t>Customer</t>
  </si>
  <si>
    <t>Orders by Customer</t>
  </si>
  <si>
    <t>COUNTIFS PRACTICE</t>
  </si>
  <si>
    <t>Technology Orders in South</t>
  </si>
  <si>
    <t>TEXT FUNCTIONS</t>
  </si>
  <si>
    <t>LEFT</t>
  </si>
  <si>
    <t>RIGHT</t>
  </si>
  <si>
    <t>LEN</t>
  </si>
  <si>
    <t>UPPER</t>
  </si>
  <si>
    <t>LOWER</t>
  </si>
  <si>
    <t>PROPER</t>
  </si>
  <si>
    <t>TEXTJOIN</t>
  </si>
  <si>
    <t>INDEX + MATCH</t>
  </si>
  <si>
    <t>Total Sales using Named Range</t>
  </si>
  <si>
    <t>BUSINESS SUMMARY</t>
  </si>
  <si>
    <t>RESULT</t>
  </si>
  <si>
    <t>Total Sales</t>
  </si>
  <si>
    <t>Total Profit</t>
  </si>
  <si>
    <t>Total Orders</t>
  </si>
  <si>
    <t>Total Quantity</t>
  </si>
  <si>
    <t>Furniture Sales</t>
  </si>
  <si>
    <t>Office Supplies Sales</t>
  </si>
  <si>
    <t>South Sales</t>
  </si>
  <si>
    <t>Central Sales</t>
  </si>
  <si>
    <t>Function</t>
  </si>
  <si>
    <t>Purpose</t>
  </si>
  <si>
    <t>Example</t>
  </si>
  <si>
    <t>XLOOKUP</t>
  </si>
  <si>
    <t>Find a value and return related information</t>
  </si>
  <si>
    <t>=XLOOKUP(...)</t>
  </si>
  <si>
    <t>VLOOKUP</t>
  </si>
  <si>
    <t>Lookup from first column</t>
  </si>
  <si>
    <t>=VLOOKUP(...)</t>
  </si>
  <si>
    <t>IF</t>
  </si>
  <si>
    <t>Apply logical condition</t>
  </si>
  <si>
    <t>=IF(...)</t>
  </si>
  <si>
    <t>SUMIF</t>
  </si>
  <si>
    <t>Sum using one condition</t>
  </si>
  <si>
    <t>=SUMIF(...)</t>
  </si>
  <si>
    <t>SUMIFS</t>
  </si>
  <si>
    <t>Sum using multiple conditions</t>
  </si>
  <si>
    <t>=SUMIFS(...)</t>
  </si>
  <si>
    <t>COUNTIF</t>
  </si>
  <si>
    <t>Count using one condition</t>
  </si>
  <si>
    <t>=COUNTIF(...)</t>
  </si>
  <si>
    <t>COUNTIFS</t>
  </si>
  <si>
    <t>Count using multiple conditions</t>
  </si>
  <si>
    <t>=COUNTIFS(...)</t>
  </si>
  <si>
    <t>Extract characters from left</t>
  </si>
  <si>
    <t>=LEFT(...)</t>
  </si>
  <si>
    <t>Extract characters from right</t>
  </si>
  <si>
    <t>=RIGHT(...)</t>
  </si>
  <si>
    <t>Count characters</t>
  </si>
  <si>
    <t>=LEN(...)</t>
  </si>
  <si>
    <t>Convert to uppercase</t>
  </si>
  <si>
    <t>=UPPER(...)</t>
  </si>
  <si>
    <t>Convert to lowercase</t>
  </si>
  <si>
    <t>=LOWER(...)</t>
  </si>
  <si>
    <t>Capitalize words</t>
  </si>
  <si>
    <t>=PROPER(...)</t>
  </si>
  <si>
    <t>Combine text</t>
  </si>
  <si>
    <t>=TEXTJOIN(...)</t>
  </si>
  <si>
    <t>INDEX</t>
  </si>
  <si>
    <t>Return value at position</t>
  </si>
  <si>
    <t>=INDEX(...)</t>
  </si>
  <si>
    <t>MATCH</t>
  </si>
  <si>
    <t>Find position</t>
  </si>
  <si>
    <t>=MATCH(...)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</si>
</sst>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7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2">
    <dxf>
      <numFmt numFmtId="29" formatCode="mm:ss.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78796-3ABC-4255-B6FF-1391FF5B9A03}" name="SalesData" displayName="SalesData" ref="A1:M501" totalsRowShown="0">
  <autoFilter ref="A1:M501" xr:uid="{8DF78796-3ABC-4255-B6FF-1391FF5B9A03}"/>
  <tableColumns count="13">
    <tableColumn id="1" xr3:uid="{BB5F7B50-104A-4E5F-9B60-10CA1F0C82CA}" name="Order_ID"/>
    <tableColumn id="2" xr3:uid="{08EEC197-0A44-41FB-A530-96012DFCCE52}" name="Order_Date" dataDxfId="1"/>
    <tableColumn id="3" xr3:uid="{A63DAF24-2782-4370-8771-F25F380B0A21}" name="Ship_Date" dataDxfId="0"/>
    <tableColumn id="4" xr3:uid="{6443170D-BE2D-4320-B621-D9DB9AEF80F4}" name="Customer_Name"/>
    <tableColumn id="5" xr3:uid="{3451ABD5-12AB-43FF-BE0D-F609CCB40185}" name="Segment"/>
    <tableColumn id="6" xr3:uid="{C92B82D6-916E-409F-8465-17F9FC24B539}" name="Category"/>
    <tableColumn id="7" xr3:uid="{85518F65-48C1-4871-9265-C3FD650D22F5}" name="Region"/>
    <tableColumn id="8" xr3:uid="{8D4273B5-FAB6-48D0-A1C1-DD2386DDAE3A}" name="City"/>
    <tableColumn id="9" xr3:uid="{1006B1DD-FABC-44D9-9978-4DFED1E5C538}" name="Product_Name"/>
    <tableColumn id="10" xr3:uid="{7691973F-9F70-4EC0-8D06-88880A7804D8}" name="Sales"/>
    <tableColumn id="11" xr3:uid="{5EFC1FFE-AB84-4C6E-B666-7717EB07ED81}" name="Quantity"/>
    <tableColumn id="12" xr3:uid="{01732F52-BF91-426A-9592-5C90C5428409}" name="Discount"/>
    <tableColumn id="13" xr3:uid="{A660F58C-8817-4C39-B8AC-A3EDA78F03CC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8C40-2C40-46AD-A3BE-66885AAB12F1}">
  <dimension ref="A1:M501"/>
  <sheetViews>
    <sheetView workbookViewId="0">
      <selection activeCell="J1" sqref="J1:J1048576"/>
    </sheetView>
  </sheetViews>
  <sheetFormatPr defaultRowHeight="14.4"/>
  <cols>
    <col min="1" max="1" width="10.44140625" customWidth="1"/>
    <col min="2" max="2" width="12.5546875" customWidth="1"/>
    <col min="3" max="3" width="11.44140625" customWidth="1"/>
    <col min="4" max="4" width="17" customWidth="1"/>
    <col min="5" max="5" width="10.33203125" customWidth="1"/>
    <col min="6" max="6" width="10.44140625" customWidth="1"/>
    <col min="9" max="9" width="15.5546875" customWidth="1"/>
    <col min="11" max="12" width="10.21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45658</v>
      </c>
      <c r="C2" s="1">
        <v>45661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1092.1300000000001</v>
      </c>
      <c r="K2">
        <v>7</v>
      </c>
      <c r="L2">
        <v>0.15</v>
      </c>
      <c r="M2">
        <v>38.86</v>
      </c>
    </row>
    <row r="3" spans="1:13">
      <c r="A3" t="s">
        <v>20</v>
      </c>
      <c r="B3" s="1">
        <v>45658.729458923612</v>
      </c>
      <c r="C3" s="1">
        <v>45664.729458923612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1640.97</v>
      </c>
      <c r="K3">
        <v>3</v>
      </c>
      <c r="L3">
        <v>0</v>
      </c>
      <c r="M3">
        <v>344.34</v>
      </c>
    </row>
    <row r="4" spans="1:13">
      <c r="A4" t="s">
        <v>27</v>
      </c>
      <c r="B4" s="1">
        <v>45659.458917835647</v>
      </c>
      <c r="C4" s="1">
        <v>45663.458917835647</v>
      </c>
      <c r="D4" t="s">
        <v>28</v>
      </c>
      <c r="E4" t="s">
        <v>15</v>
      </c>
      <c r="F4" t="s">
        <v>23</v>
      </c>
      <c r="G4" t="s">
        <v>29</v>
      </c>
      <c r="H4" t="s">
        <v>30</v>
      </c>
      <c r="I4" t="s">
        <v>31</v>
      </c>
      <c r="J4">
        <v>643.16999999999996</v>
      </c>
      <c r="K4">
        <v>4</v>
      </c>
      <c r="L4">
        <v>0</v>
      </c>
      <c r="M4">
        <v>84.88</v>
      </c>
    </row>
    <row r="5" spans="1:13">
      <c r="A5" t="s">
        <v>32</v>
      </c>
      <c r="B5" s="1">
        <v>45660.188376759259</v>
      </c>
      <c r="C5" s="1">
        <v>45663.188376759259</v>
      </c>
      <c r="D5" t="s">
        <v>33</v>
      </c>
      <c r="E5" t="s">
        <v>22</v>
      </c>
      <c r="F5" t="s">
        <v>34</v>
      </c>
      <c r="G5" t="s">
        <v>35</v>
      </c>
      <c r="H5" t="s">
        <v>36</v>
      </c>
      <c r="I5" t="s">
        <v>37</v>
      </c>
      <c r="J5">
        <v>36.67</v>
      </c>
      <c r="K5">
        <v>4</v>
      </c>
      <c r="L5">
        <v>0.1</v>
      </c>
      <c r="M5">
        <v>1.22</v>
      </c>
    </row>
    <row r="6" spans="1:13">
      <c r="A6" t="s">
        <v>38</v>
      </c>
      <c r="B6" s="1">
        <v>45660.917835671295</v>
      </c>
      <c r="C6" s="1">
        <v>45664.917835671295</v>
      </c>
      <c r="D6" t="s">
        <v>28</v>
      </c>
      <c r="E6" t="s">
        <v>15</v>
      </c>
      <c r="F6" t="s">
        <v>34</v>
      </c>
      <c r="G6" t="s">
        <v>17</v>
      </c>
      <c r="H6" t="s">
        <v>39</v>
      </c>
      <c r="I6" t="s">
        <v>40</v>
      </c>
      <c r="J6">
        <v>73.510000000000005</v>
      </c>
      <c r="K6">
        <v>6</v>
      </c>
      <c r="L6">
        <v>0.15</v>
      </c>
      <c r="M6">
        <v>1.84</v>
      </c>
    </row>
    <row r="7" spans="1:13">
      <c r="A7" t="s">
        <v>41</v>
      </c>
      <c r="B7" s="1">
        <v>45661.647294594906</v>
      </c>
      <c r="C7" s="1">
        <v>45665.647294594906</v>
      </c>
      <c r="D7" t="s">
        <v>21</v>
      </c>
      <c r="E7" t="s">
        <v>42</v>
      </c>
      <c r="F7" t="s">
        <v>23</v>
      </c>
      <c r="G7" t="s">
        <v>29</v>
      </c>
      <c r="H7" t="s">
        <v>30</v>
      </c>
      <c r="I7" t="s">
        <v>26</v>
      </c>
      <c r="J7">
        <v>3423.74</v>
      </c>
      <c r="K7">
        <v>7</v>
      </c>
      <c r="L7">
        <v>0</v>
      </c>
      <c r="M7">
        <v>317.73</v>
      </c>
    </row>
    <row r="8" spans="1:13">
      <c r="A8" t="s">
        <v>43</v>
      </c>
      <c r="B8" s="1">
        <v>45662.376753506942</v>
      </c>
      <c r="C8" s="1">
        <v>45668.376753506942</v>
      </c>
      <c r="D8" t="s">
        <v>28</v>
      </c>
      <c r="E8" t="s">
        <v>42</v>
      </c>
      <c r="F8" t="s">
        <v>23</v>
      </c>
      <c r="G8" t="s">
        <v>35</v>
      </c>
      <c r="H8" t="s">
        <v>44</v>
      </c>
      <c r="I8" t="s">
        <v>45</v>
      </c>
      <c r="J8">
        <v>1107.78</v>
      </c>
      <c r="K8">
        <v>5</v>
      </c>
      <c r="L8">
        <v>0.3</v>
      </c>
      <c r="M8">
        <v>137.49</v>
      </c>
    </row>
    <row r="9" spans="1:13">
      <c r="A9" t="s">
        <v>46</v>
      </c>
      <c r="B9" s="1">
        <v>45663.106212430554</v>
      </c>
      <c r="C9" s="1">
        <v>45668.106212430554</v>
      </c>
      <c r="D9" t="s">
        <v>21</v>
      </c>
      <c r="E9" t="s">
        <v>22</v>
      </c>
      <c r="F9" t="s">
        <v>16</v>
      </c>
      <c r="G9" t="s">
        <v>17</v>
      </c>
      <c r="H9" t="s">
        <v>25</v>
      </c>
      <c r="I9" t="s">
        <v>47</v>
      </c>
      <c r="J9">
        <v>18.71</v>
      </c>
      <c r="K9">
        <v>1</v>
      </c>
      <c r="L9">
        <v>0.3</v>
      </c>
      <c r="M9">
        <v>1.67</v>
      </c>
    </row>
    <row r="10" spans="1:13">
      <c r="A10" t="s">
        <v>48</v>
      </c>
      <c r="B10" s="1">
        <v>45663.835671342589</v>
      </c>
      <c r="C10" s="1">
        <v>45664.835671342589</v>
      </c>
      <c r="D10" t="s">
        <v>28</v>
      </c>
      <c r="E10" t="s">
        <v>15</v>
      </c>
      <c r="F10" t="s">
        <v>23</v>
      </c>
      <c r="G10" t="s">
        <v>35</v>
      </c>
      <c r="H10" t="s">
        <v>49</v>
      </c>
      <c r="I10" t="s">
        <v>31</v>
      </c>
      <c r="J10">
        <v>622.14</v>
      </c>
      <c r="K10">
        <v>5</v>
      </c>
      <c r="L10">
        <v>0.15</v>
      </c>
      <c r="M10">
        <v>115.18</v>
      </c>
    </row>
    <row r="11" spans="1:13">
      <c r="A11" t="s">
        <v>50</v>
      </c>
      <c r="B11" s="1">
        <v>45664.565130266201</v>
      </c>
      <c r="C11" s="1">
        <v>45665.565130266201</v>
      </c>
      <c r="D11" t="s">
        <v>28</v>
      </c>
      <c r="E11" t="s">
        <v>15</v>
      </c>
      <c r="F11" t="s">
        <v>34</v>
      </c>
      <c r="G11" t="s">
        <v>24</v>
      </c>
      <c r="H11" t="s">
        <v>44</v>
      </c>
      <c r="I11" t="s">
        <v>37</v>
      </c>
      <c r="J11">
        <v>23.33</v>
      </c>
      <c r="K11">
        <v>3</v>
      </c>
      <c r="L11">
        <v>0.15</v>
      </c>
      <c r="M11">
        <v>1.68</v>
      </c>
    </row>
    <row r="12" spans="1:13">
      <c r="A12" t="s">
        <v>51</v>
      </c>
      <c r="B12" s="1">
        <v>45665.294589178244</v>
      </c>
      <c r="C12" s="1">
        <v>45669.294589178244</v>
      </c>
      <c r="D12" t="s">
        <v>52</v>
      </c>
      <c r="E12" t="s">
        <v>15</v>
      </c>
      <c r="F12" t="s">
        <v>23</v>
      </c>
      <c r="G12" t="s">
        <v>35</v>
      </c>
      <c r="H12" t="s">
        <v>53</v>
      </c>
      <c r="I12" t="s">
        <v>31</v>
      </c>
      <c r="J12">
        <v>1257.06</v>
      </c>
      <c r="K12">
        <v>8</v>
      </c>
      <c r="L12">
        <v>0.05</v>
      </c>
      <c r="M12">
        <v>204.1</v>
      </c>
    </row>
    <row r="13" spans="1:13">
      <c r="A13" t="s">
        <v>54</v>
      </c>
      <c r="B13" s="1">
        <v>45666.024048101855</v>
      </c>
      <c r="C13" s="1">
        <v>45672.024048101855</v>
      </c>
      <c r="D13" t="s">
        <v>14</v>
      </c>
      <c r="E13" t="s">
        <v>22</v>
      </c>
      <c r="F13" t="s">
        <v>23</v>
      </c>
      <c r="G13" t="s">
        <v>35</v>
      </c>
      <c r="H13" t="s">
        <v>39</v>
      </c>
      <c r="I13" t="s">
        <v>55</v>
      </c>
      <c r="J13">
        <v>701.8</v>
      </c>
      <c r="K13">
        <v>6</v>
      </c>
      <c r="L13">
        <v>0.2</v>
      </c>
      <c r="M13">
        <v>22.79</v>
      </c>
    </row>
    <row r="14" spans="1:13">
      <c r="A14" t="s">
        <v>56</v>
      </c>
      <c r="B14" s="1">
        <v>45666.753507013891</v>
      </c>
      <c r="C14" s="1">
        <v>45671.753507013891</v>
      </c>
      <c r="D14" t="s">
        <v>28</v>
      </c>
      <c r="E14" t="s">
        <v>42</v>
      </c>
      <c r="F14" t="s">
        <v>16</v>
      </c>
      <c r="G14" t="s">
        <v>24</v>
      </c>
      <c r="H14" t="s">
        <v>39</v>
      </c>
      <c r="I14" t="s">
        <v>47</v>
      </c>
      <c r="J14">
        <v>134.88999999999999</v>
      </c>
      <c r="K14">
        <v>5</v>
      </c>
      <c r="L14">
        <v>0</v>
      </c>
      <c r="M14">
        <v>19.64</v>
      </c>
    </row>
    <row r="15" spans="1:13">
      <c r="A15" t="s">
        <v>57</v>
      </c>
      <c r="B15" s="1">
        <v>45667.482965937503</v>
      </c>
      <c r="C15" s="1">
        <v>45670.482965937503</v>
      </c>
      <c r="D15" t="s">
        <v>52</v>
      </c>
      <c r="E15" t="s">
        <v>42</v>
      </c>
      <c r="F15" t="s">
        <v>23</v>
      </c>
      <c r="G15" t="s">
        <v>29</v>
      </c>
      <c r="H15" t="s">
        <v>18</v>
      </c>
      <c r="I15" t="s">
        <v>55</v>
      </c>
      <c r="J15">
        <v>457.2</v>
      </c>
      <c r="K15">
        <v>3</v>
      </c>
      <c r="L15">
        <v>0</v>
      </c>
      <c r="M15">
        <v>76.72</v>
      </c>
    </row>
    <row r="16" spans="1:13">
      <c r="A16" t="s">
        <v>58</v>
      </c>
      <c r="B16" s="1">
        <v>45668.212424849538</v>
      </c>
      <c r="C16" s="1">
        <v>45674.212424849538</v>
      </c>
      <c r="D16" t="s">
        <v>14</v>
      </c>
      <c r="E16" t="s">
        <v>42</v>
      </c>
      <c r="F16" t="s">
        <v>16</v>
      </c>
      <c r="G16" t="s">
        <v>35</v>
      </c>
      <c r="H16" t="s">
        <v>25</v>
      </c>
      <c r="I16" t="s">
        <v>19</v>
      </c>
      <c r="J16">
        <v>917.26</v>
      </c>
      <c r="K16">
        <v>6</v>
      </c>
      <c r="L16">
        <v>0.1</v>
      </c>
      <c r="M16">
        <v>91.7</v>
      </c>
    </row>
    <row r="17" spans="1:13">
      <c r="A17" t="s">
        <v>59</v>
      </c>
      <c r="B17" s="1">
        <v>45668.94188377315</v>
      </c>
      <c r="C17" s="1">
        <v>45669.94188377315</v>
      </c>
      <c r="D17" t="s">
        <v>14</v>
      </c>
      <c r="E17" t="s">
        <v>15</v>
      </c>
      <c r="F17" t="s">
        <v>16</v>
      </c>
      <c r="G17" t="s">
        <v>29</v>
      </c>
      <c r="H17" t="s">
        <v>44</v>
      </c>
      <c r="I17" t="s">
        <v>60</v>
      </c>
      <c r="J17">
        <v>608.5</v>
      </c>
      <c r="K17">
        <v>1</v>
      </c>
      <c r="L17">
        <v>0.05</v>
      </c>
      <c r="M17">
        <v>115.46</v>
      </c>
    </row>
    <row r="18" spans="1:13">
      <c r="A18" t="s">
        <v>61</v>
      </c>
      <c r="B18" s="1">
        <v>45669.671342685186</v>
      </c>
      <c r="C18" s="1">
        <v>45672.671342685186</v>
      </c>
      <c r="D18" t="s">
        <v>52</v>
      </c>
      <c r="E18" t="s">
        <v>22</v>
      </c>
      <c r="F18" t="s">
        <v>23</v>
      </c>
      <c r="G18" t="s">
        <v>17</v>
      </c>
      <c r="H18" t="s">
        <v>53</v>
      </c>
      <c r="I18" t="s">
        <v>45</v>
      </c>
      <c r="J18">
        <v>1216.2</v>
      </c>
      <c r="K18">
        <v>5</v>
      </c>
      <c r="L18">
        <v>0.15</v>
      </c>
      <c r="M18">
        <v>62.56</v>
      </c>
    </row>
    <row r="19" spans="1:13">
      <c r="A19" t="s">
        <v>62</v>
      </c>
      <c r="B19" s="1">
        <v>45670.400801608797</v>
      </c>
      <c r="C19" s="1">
        <v>45675.400801608797</v>
      </c>
      <c r="D19" t="s">
        <v>63</v>
      </c>
      <c r="E19" t="s">
        <v>22</v>
      </c>
      <c r="F19" t="s">
        <v>16</v>
      </c>
      <c r="G19" t="s">
        <v>35</v>
      </c>
      <c r="H19" t="s">
        <v>53</v>
      </c>
      <c r="I19" t="s">
        <v>64</v>
      </c>
      <c r="J19">
        <v>868.82</v>
      </c>
      <c r="K19">
        <v>4</v>
      </c>
      <c r="L19">
        <v>0.05</v>
      </c>
      <c r="M19">
        <v>148.32</v>
      </c>
    </row>
    <row r="20" spans="1:13">
      <c r="A20" t="s">
        <v>65</v>
      </c>
      <c r="B20" s="1">
        <v>45671.130260520833</v>
      </c>
      <c r="C20" s="1">
        <v>45677.130260520833</v>
      </c>
      <c r="D20" t="s">
        <v>21</v>
      </c>
      <c r="E20" t="s">
        <v>22</v>
      </c>
      <c r="F20" t="s">
        <v>34</v>
      </c>
      <c r="G20" t="s">
        <v>17</v>
      </c>
      <c r="H20" t="s">
        <v>36</v>
      </c>
      <c r="I20" t="s">
        <v>40</v>
      </c>
      <c r="J20">
        <v>87.21</v>
      </c>
      <c r="K20">
        <v>6</v>
      </c>
      <c r="L20">
        <v>0</v>
      </c>
      <c r="M20">
        <v>15.19</v>
      </c>
    </row>
    <row r="21" spans="1:13">
      <c r="A21" t="s">
        <v>66</v>
      </c>
      <c r="B21" s="1">
        <v>45671.859719444445</v>
      </c>
      <c r="C21" s="1">
        <v>45676.859719444445</v>
      </c>
      <c r="D21" t="s">
        <v>28</v>
      </c>
      <c r="E21" t="s">
        <v>42</v>
      </c>
      <c r="F21" t="s">
        <v>34</v>
      </c>
      <c r="G21" t="s">
        <v>29</v>
      </c>
      <c r="H21" t="s">
        <v>30</v>
      </c>
      <c r="I21" t="s">
        <v>40</v>
      </c>
      <c r="J21">
        <v>84.57</v>
      </c>
      <c r="K21">
        <v>7</v>
      </c>
      <c r="L21">
        <v>0.15</v>
      </c>
      <c r="M21">
        <v>11.72</v>
      </c>
    </row>
    <row r="22" spans="1:13">
      <c r="A22" t="s">
        <v>67</v>
      </c>
      <c r="B22" s="1">
        <v>45672.58917835648</v>
      </c>
      <c r="C22" s="1">
        <v>45677.58917835648</v>
      </c>
      <c r="D22" t="s">
        <v>14</v>
      </c>
      <c r="E22" t="s">
        <v>15</v>
      </c>
      <c r="F22" t="s">
        <v>23</v>
      </c>
      <c r="G22" t="s">
        <v>17</v>
      </c>
      <c r="H22" t="s">
        <v>49</v>
      </c>
      <c r="I22" t="s">
        <v>26</v>
      </c>
      <c r="J22">
        <v>3085.3</v>
      </c>
      <c r="K22">
        <v>8</v>
      </c>
      <c r="L22">
        <v>0.2</v>
      </c>
      <c r="M22">
        <v>72.73</v>
      </c>
    </row>
    <row r="23" spans="1:13">
      <c r="A23" t="s">
        <v>68</v>
      </c>
      <c r="B23" s="1">
        <v>45673.318637280092</v>
      </c>
      <c r="C23" s="1">
        <v>45675.318637280092</v>
      </c>
      <c r="D23" t="s">
        <v>63</v>
      </c>
      <c r="E23" t="s">
        <v>15</v>
      </c>
      <c r="F23" t="s">
        <v>34</v>
      </c>
      <c r="G23" t="s">
        <v>17</v>
      </c>
      <c r="H23" t="s">
        <v>53</v>
      </c>
      <c r="I23" t="s">
        <v>37</v>
      </c>
      <c r="J23">
        <v>33.659999999999997</v>
      </c>
      <c r="K23">
        <v>4</v>
      </c>
      <c r="L23">
        <v>0.1</v>
      </c>
      <c r="M23">
        <v>5.03</v>
      </c>
    </row>
    <row r="24" spans="1:13">
      <c r="A24" t="s">
        <v>69</v>
      </c>
      <c r="B24" s="1">
        <v>45674.048096192128</v>
      </c>
      <c r="C24" s="1">
        <v>45678.048096192128</v>
      </c>
      <c r="D24" t="s">
        <v>28</v>
      </c>
      <c r="E24" t="s">
        <v>22</v>
      </c>
      <c r="F24" t="s">
        <v>16</v>
      </c>
      <c r="G24" t="s">
        <v>29</v>
      </c>
      <c r="H24" t="s">
        <v>53</v>
      </c>
      <c r="I24" t="s">
        <v>64</v>
      </c>
      <c r="J24">
        <v>586.24</v>
      </c>
      <c r="K24">
        <v>3</v>
      </c>
      <c r="L24">
        <v>0.05</v>
      </c>
      <c r="M24">
        <v>128.56</v>
      </c>
    </row>
    <row r="25" spans="1:13">
      <c r="A25" t="s">
        <v>70</v>
      </c>
      <c r="B25" s="1">
        <v>45674.777555115739</v>
      </c>
      <c r="C25" s="1">
        <v>45677.777555115739</v>
      </c>
      <c r="D25" t="s">
        <v>14</v>
      </c>
      <c r="E25" t="s">
        <v>15</v>
      </c>
      <c r="F25" t="s">
        <v>16</v>
      </c>
      <c r="G25" t="s">
        <v>17</v>
      </c>
      <c r="H25" t="s">
        <v>44</v>
      </c>
      <c r="I25" t="s">
        <v>47</v>
      </c>
      <c r="J25">
        <v>102.66</v>
      </c>
      <c r="K25">
        <v>5</v>
      </c>
      <c r="L25">
        <v>0.2</v>
      </c>
      <c r="M25">
        <v>5.24</v>
      </c>
    </row>
    <row r="26" spans="1:13">
      <c r="A26" t="s">
        <v>71</v>
      </c>
      <c r="B26" s="1">
        <v>45675.507014027775</v>
      </c>
      <c r="C26" s="1">
        <v>45679.507014027775</v>
      </c>
      <c r="D26" t="s">
        <v>52</v>
      </c>
      <c r="E26" t="s">
        <v>15</v>
      </c>
      <c r="F26" t="s">
        <v>23</v>
      </c>
      <c r="G26" t="s">
        <v>17</v>
      </c>
      <c r="H26" t="s">
        <v>30</v>
      </c>
      <c r="I26" t="s">
        <v>31</v>
      </c>
      <c r="J26">
        <v>1113.22</v>
      </c>
      <c r="K26">
        <v>8</v>
      </c>
      <c r="L26">
        <v>0.2</v>
      </c>
      <c r="M26">
        <v>146.22999999999999</v>
      </c>
    </row>
    <row r="27" spans="1:13">
      <c r="A27" t="s">
        <v>72</v>
      </c>
      <c r="B27" s="1">
        <v>45676.236472951387</v>
      </c>
      <c r="C27" s="1">
        <v>45679.236472951387</v>
      </c>
      <c r="D27" t="s">
        <v>33</v>
      </c>
      <c r="E27" t="s">
        <v>22</v>
      </c>
      <c r="F27" t="s">
        <v>34</v>
      </c>
      <c r="G27" t="s">
        <v>17</v>
      </c>
      <c r="H27" t="s">
        <v>53</v>
      </c>
      <c r="I27" t="s">
        <v>73</v>
      </c>
      <c r="J27">
        <v>54.78</v>
      </c>
      <c r="K27">
        <v>5</v>
      </c>
      <c r="L27">
        <v>0.05</v>
      </c>
      <c r="M27">
        <v>7.12</v>
      </c>
    </row>
    <row r="28" spans="1:13">
      <c r="A28" t="s">
        <v>74</v>
      </c>
      <c r="B28" s="1">
        <v>45676.965931863429</v>
      </c>
      <c r="C28" s="1">
        <v>45677.965931863429</v>
      </c>
      <c r="D28" t="s">
        <v>63</v>
      </c>
      <c r="E28" t="s">
        <v>15</v>
      </c>
      <c r="F28" t="s">
        <v>16</v>
      </c>
      <c r="G28" t="s">
        <v>35</v>
      </c>
      <c r="H28" t="s">
        <v>30</v>
      </c>
      <c r="I28" t="s">
        <v>19</v>
      </c>
      <c r="J28">
        <v>1260.6300000000001</v>
      </c>
      <c r="K28">
        <v>8</v>
      </c>
      <c r="L28">
        <v>0.15</v>
      </c>
      <c r="M28">
        <v>202.15</v>
      </c>
    </row>
    <row r="29" spans="1:13">
      <c r="A29" t="s">
        <v>75</v>
      </c>
      <c r="B29" s="1">
        <v>45677.695390787034</v>
      </c>
      <c r="C29" s="1">
        <v>45683.695390787034</v>
      </c>
      <c r="D29" t="s">
        <v>63</v>
      </c>
      <c r="E29" t="s">
        <v>15</v>
      </c>
      <c r="F29" t="s">
        <v>16</v>
      </c>
      <c r="G29" t="s">
        <v>17</v>
      </c>
      <c r="H29" t="s">
        <v>53</v>
      </c>
      <c r="I29" t="s">
        <v>19</v>
      </c>
      <c r="J29">
        <v>443.33</v>
      </c>
      <c r="K29">
        <v>3</v>
      </c>
      <c r="L29">
        <v>0.2</v>
      </c>
      <c r="M29">
        <v>58.99</v>
      </c>
    </row>
    <row r="30" spans="1:13">
      <c r="A30" t="s">
        <v>76</v>
      </c>
      <c r="B30" s="1">
        <v>45678.424849699077</v>
      </c>
      <c r="C30" s="1">
        <v>45679.424849699077</v>
      </c>
      <c r="D30" t="s">
        <v>28</v>
      </c>
      <c r="E30" t="s">
        <v>42</v>
      </c>
      <c r="F30" t="s">
        <v>16</v>
      </c>
      <c r="G30" t="s">
        <v>24</v>
      </c>
      <c r="H30" t="s">
        <v>30</v>
      </c>
      <c r="I30" t="s">
        <v>19</v>
      </c>
      <c r="J30">
        <v>1237.8499999999999</v>
      </c>
      <c r="K30">
        <v>8</v>
      </c>
      <c r="L30">
        <v>0.05</v>
      </c>
      <c r="M30">
        <v>196.43</v>
      </c>
    </row>
    <row r="31" spans="1:13">
      <c r="A31" t="s">
        <v>77</v>
      </c>
      <c r="B31" s="1">
        <v>45679.154308622688</v>
      </c>
      <c r="C31" s="1">
        <v>45684.154308622688</v>
      </c>
      <c r="D31" t="s">
        <v>14</v>
      </c>
      <c r="E31" t="s">
        <v>22</v>
      </c>
      <c r="F31" t="s">
        <v>34</v>
      </c>
      <c r="G31" t="s">
        <v>17</v>
      </c>
      <c r="H31" t="s">
        <v>39</v>
      </c>
      <c r="I31" t="s">
        <v>37</v>
      </c>
      <c r="J31">
        <v>43.43</v>
      </c>
      <c r="K31">
        <v>4</v>
      </c>
      <c r="L31">
        <v>0</v>
      </c>
      <c r="M31">
        <v>5.95</v>
      </c>
    </row>
    <row r="32" spans="1:13">
      <c r="A32" t="s">
        <v>78</v>
      </c>
      <c r="B32" s="1">
        <v>45679.883767534724</v>
      </c>
      <c r="C32" s="1">
        <v>45685.883767534724</v>
      </c>
      <c r="D32" t="s">
        <v>21</v>
      </c>
      <c r="E32" t="s">
        <v>15</v>
      </c>
      <c r="F32" t="s">
        <v>16</v>
      </c>
      <c r="G32" t="s">
        <v>17</v>
      </c>
      <c r="H32" t="s">
        <v>30</v>
      </c>
      <c r="I32" t="s">
        <v>60</v>
      </c>
      <c r="J32">
        <v>4560.83</v>
      </c>
      <c r="K32">
        <v>8</v>
      </c>
      <c r="L32">
        <v>0.1</v>
      </c>
      <c r="M32">
        <v>438.04</v>
      </c>
    </row>
    <row r="33" spans="1:13">
      <c r="A33" t="s">
        <v>79</v>
      </c>
      <c r="B33" s="1">
        <v>45680.613226458336</v>
      </c>
      <c r="C33" s="1">
        <v>45681.613226458336</v>
      </c>
      <c r="D33" t="s">
        <v>63</v>
      </c>
      <c r="E33" t="s">
        <v>15</v>
      </c>
      <c r="F33" t="s">
        <v>16</v>
      </c>
      <c r="G33" t="s">
        <v>29</v>
      </c>
      <c r="H33" t="s">
        <v>44</v>
      </c>
      <c r="I33" t="s">
        <v>64</v>
      </c>
      <c r="J33">
        <v>1490.61</v>
      </c>
      <c r="K33">
        <v>7</v>
      </c>
      <c r="L33">
        <v>0.1</v>
      </c>
      <c r="M33">
        <v>236.02</v>
      </c>
    </row>
    <row r="34" spans="1:13">
      <c r="A34" t="s">
        <v>80</v>
      </c>
      <c r="B34" s="1">
        <v>45681.342685370371</v>
      </c>
      <c r="C34" s="1">
        <v>45685.342685370371</v>
      </c>
      <c r="D34" t="s">
        <v>21</v>
      </c>
      <c r="E34" t="s">
        <v>15</v>
      </c>
      <c r="F34" t="s">
        <v>23</v>
      </c>
      <c r="G34" t="s">
        <v>24</v>
      </c>
      <c r="H34" t="s">
        <v>25</v>
      </c>
      <c r="I34" t="s">
        <v>45</v>
      </c>
      <c r="J34">
        <v>1897.73</v>
      </c>
      <c r="K34">
        <v>7</v>
      </c>
      <c r="L34">
        <v>0.05</v>
      </c>
      <c r="M34">
        <v>289.54000000000002</v>
      </c>
    </row>
    <row r="35" spans="1:13">
      <c r="A35" t="s">
        <v>81</v>
      </c>
      <c r="B35" s="1">
        <v>45682.072144293983</v>
      </c>
      <c r="C35" s="1">
        <v>45686.072144293983</v>
      </c>
      <c r="D35" t="s">
        <v>21</v>
      </c>
      <c r="E35" t="s">
        <v>42</v>
      </c>
      <c r="F35" t="s">
        <v>34</v>
      </c>
      <c r="G35" t="s">
        <v>17</v>
      </c>
      <c r="H35" t="s">
        <v>39</v>
      </c>
      <c r="I35" t="s">
        <v>73</v>
      </c>
      <c r="J35">
        <v>86.43</v>
      </c>
      <c r="K35">
        <v>8</v>
      </c>
      <c r="L35">
        <v>0.15</v>
      </c>
      <c r="M35">
        <v>14.49</v>
      </c>
    </row>
    <row r="36" spans="1:13">
      <c r="A36" t="s">
        <v>82</v>
      </c>
      <c r="B36" s="1">
        <v>45682.801603206019</v>
      </c>
      <c r="C36" s="1">
        <v>45684.801603206019</v>
      </c>
      <c r="D36" t="s">
        <v>52</v>
      </c>
      <c r="E36" t="s">
        <v>22</v>
      </c>
      <c r="F36" t="s">
        <v>34</v>
      </c>
      <c r="G36" t="s">
        <v>17</v>
      </c>
      <c r="H36" t="s">
        <v>36</v>
      </c>
      <c r="I36" t="s">
        <v>37</v>
      </c>
      <c r="J36">
        <v>10.96</v>
      </c>
      <c r="K36">
        <v>1</v>
      </c>
      <c r="L36">
        <v>0</v>
      </c>
      <c r="M36">
        <v>2.31</v>
      </c>
    </row>
    <row r="37" spans="1:13">
      <c r="A37" t="s">
        <v>83</v>
      </c>
      <c r="B37" s="1">
        <v>45683.53106212963</v>
      </c>
      <c r="C37" s="1">
        <v>45687.53106212963</v>
      </c>
      <c r="D37" t="s">
        <v>33</v>
      </c>
      <c r="E37" t="s">
        <v>15</v>
      </c>
      <c r="F37" t="s">
        <v>34</v>
      </c>
      <c r="G37" t="s">
        <v>17</v>
      </c>
      <c r="H37" t="s">
        <v>30</v>
      </c>
      <c r="I37" t="s">
        <v>37</v>
      </c>
      <c r="J37">
        <v>40.49</v>
      </c>
      <c r="K37">
        <v>4</v>
      </c>
      <c r="L37">
        <v>0.05</v>
      </c>
      <c r="M37">
        <v>3.7</v>
      </c>
    </row>
    <row r="38" spans="1:13">
      <c r="A38" t="s">
        <v>84</v>
      </c>
      <c r="B38" s="1">
        <v>45684.260521041666</v>
      </c>
      <c r="C38" s="1">
        <v>45689.260521041666</v>
      </c>
      <c r="D38" t="s">
        <v>21</v>
      </c>
      <c r="E38" t="s">
        <v>42</v>
      </c>
      <c r="F38" t="s">
        <v>16</v>
      </c>
      <c r="G38" t="s">
        <v>29</v>
      </c>
      <c r="H38" t="s">
        <v>49</v>
      </c>
      <c r="I38" t="s">
        <v>47</v>
      </c>
      <c r="J38">
        <v>138.71</v>
      </c>
      <c r="K38">
        <v>6</v>
      </c>
      <c r="L38">
        <v>0.1</v>
      </c>
      <c r="M38">
        <v>21.6</v>
      </c>
    </row>
    <row r="39" spans="1:13">
      <c r="A39" t="s">
        <v>85</v>
      </c>
      <c r="B39" s="1">
        <v>45684.989979965278</v>
      </c>
      <c r="C39" s="1">
        <v>45690.989979965278</v>
      </c>
      <c r="D39" t="s">
        <v>63</v>
      </c>
      <c r="E39" t="s">
        <v>22</v>
      </c>
      <c r="F39" t="s">
        <v>34</v>
      </c>
      <c r="G39" t="s">
        <v>24</v>
      </c>
      <c r="H39" t="s">
        <v>36</v>
      </c>
      <c r="I39" t="s">
        <v>37</v>
      </c>
      <c r="J39">
        <v>32.31</v>
      </c>
      <c r="K39">
        <v>4</v>
      </c>
      <c r="L39">
        <v>0.15</v>
      </c>
      <c r="M39">
        <v>1.31</v>
      </c>
    </row>
    <row r="40" spans="1:13">
      <c r="A40" t="s">
        <v>86</v>
      </c>
      <c r="B40" s="1">
        <v>45685.719438877313</v>
      </c>
      <c r="C40" s="1">
        <v>45690.719438877313</v>
      </c>
      <c r="D40" t="s">
        <v>63</v>
      </c>
      <c r="E40" t="s">
        <v>22</v>
      </c>
      <c r="F40" t="s">
        <v>34</v>
      </c>
      <c r="G40" t="s">
        <v>35</v>
      </c>
      <c r="H40" t="s">
        <v>44</v>
      </c>
      <c r="I40" t="s">
        <v>87</v>
      </c>
      <c r="J40">
        <v>187.73</v>
      </c>
      <c r="K40">
        <v>8</v>
      </c>
      <c r="L40">
        <v>0.1</v>
      </c>
      <c r="M40">
        <v>27</v>
      </c>
    </row>
    <row r="41" spans="1:13">
      <c r="A41" t="s">
        <v>88</v>
      </c>
      <c r="B41" s="1">
        <v>45686.448897800925</v>
      </c>
      <c r="C41" s="1">
        <v>45691.448897800925</v>
      </c>
      <c r="D41" t="s">
        <v>52</v>
      </c>
      <c r="E41" t="s">
        <v>22</v>
      </c>
      <c r="F41" t="s">
        <v>23</v>
      </c>
      <c r="G41" t="s">
        <v>24</v>
      </c>
      <c r="H41" t="s">
        <v>30</v>
      </c>
      <c r="I41" t="s">
        <v>45</v>
      </c>
      <c r="J41">
        <v>1353.1</v>
      </c>
      <c r="K41">
        <v>5</v>
      </c>
      <c r="L41">
        <v>0.05</v>
      </c>
      <c r="M41">
        <v>144.21</v>
      </c>
    </row>
    <row r="42" spans="1:13">
      <c r="A42" t="s">
        <v>89</v>
      </c>
      <c r="B42" s="1">
        <v>45687.178356712961</v>
      </c>
      <c r="C42" s="1">
        <v>45689.178356712961</v>
      </c>
      <c r="D42" t="s">
        <v>21</v>
      </c>
      <c r="E42" t="s">
        <v>22</v>
      </c>
      <c r="F42" t="s">
        <v>16</v>
      </c>
      <c r="G42" t="s">
        <v>35</v>
      </c>
      <c r="H42" t="s">
        <v>25</v>
      </c>
      <c r="I42" t="s">
        <v>60</v>
      </c>
      <c r="J42">
        <v>3247.08</v>
      </c>
      <c r="K42">
        <v>6</v>
      </c>
      <c r="L42">
        <v>0.2</v>
      </c>
      <c r="M42">
        <v>244.67</v>
      </c>
    </row>
    <row r="43" spans="1:13">
      <c r="A43" t="s">
        <v>90</v>
      </c>
      <c r="B43" s="1">
        <v>45687.907815636572</v>
      </c>
      <c r="C43" s="1">
        <v>45691.907815636572</v>
      </c>
      <c r="D43" t="s">
        <v>21</v>
      </c>
      <c r="E43" t="s">
        <v>42</v>
      </c>
      <c r="F43" t="s">
        <v>16</v>
      </c>
      <c r="G43" t="s">
        <v>35</v>
      </c>
      <c r="H43" t="s">
        <v>36</v>
      </c>
      <c r="I43" t="s">
        <v>19</v>
      </c>
      <c r="J43">
        <v>1373.18</v>
      </c>
      <c r="K43">
        <v>7</v>
      </c>
      <c r="L43">
        <v>0</v>
      </c>
      <c r="M43">
        <v>301.55</v>
      </c>
    </row>
    <row r="44" spans="1:13">
      <c r="A44" t="s">
        <v>91</v>
      </c>
      <c r="B44" s="1">
        <v>45688.637274548608</v>
      </c>
      <c r="C44" s="1">
        <v>45690.637274548608</v>
      </c>
      <c r="D44" t="s">
        <v>63</v>
      </c>
      <c r="E44" t="s">
        <v>15</v>
      </c>
      <c r="F44" t="s">
        <v>23</v>
      </c>
      <c r="G44" t="s">
        <v>17</v>
      </c>
      <c r="H44" t="s">
        <v>44</v>
      </c>
      <c r="I44" t="s">
        <v>26</v>
      </c>
      <c r="J44">
        <v>2174.2399999999998</v>
      </c>
      <c r="K44">
        <v>5</v>
      </c>
      <c r="L44">
        <v>0.15</v>
      </c>
      <c r="M44">
        <v>385.71</v>
      </c>
    </row>
    <row r="45" spans="1:13">
      <c r="A45" t="s">
        <v>92</v>
      </c>
      <c r="B45" s="1">
        <v>45689.366733472219</v>
      </c>
      <c r="C45" s="1">
        <v>45693.366733472219</v>
      </c>
      <c r="D45" t="s">
        <v>14</v>
      </c>
      <c r="E45" t="s">
        <v>22</v>
      </c>
      <c r="F45" t="s">
        <v>34</v>
      </c>
      <c r="G45" t="s">
        <v>24</v>
      </c>
      <c r="H45" t="s">
        <v>44</v>
      </c>
      <c r="I45" t="s">
        <v>37</v>
      </c>
      <c r="J45">
        <v>42.49</v>
      </c>
      <c r="K45">
        <v>4</v>
      </c>
      <c r="L45">
        <v>0</v>
      </c>
      <c r="M45">
        <v>8.83</v>
      </c>
    </row>
    <row r="46" spans="1:13">
      <c r="A46" t="s">
        <v>93</v>
      </c>
      <c r="B46" s="1">
        <v>45690.096192384262</v>
      </c>
      <c r="C46" s="1">
        <v>45693.096192384262</v>
      </c>
      <c r="D46" t="s">
        <v>21</v>
      </c>
      <c r="E46" t="s">
        <v>15</v>
      </c>
      <c r="F46" t="s">
        <v>34</v>
      </c>
      <c r="G46" t="s">
        <v>35</v>
      </c>
      <c r="H46" t="s">
        <v>53</v>
      </c>
      <c r="I46" t="s">
        <v>40</v>
      </c>
      <c r="J46">
        <v>69.010000000000005</v>
      </c>
      <c r="K46">
        <v>5</v>
      </c>
      <c r="L46">
        <v>0</v>
      </c>
      <c r="M46">
        <v>4.37</v>
      </c>
    </row>
    <row r="47" spans="1:13">
      <c r="A47" t="s">
        <v>94</v>
      </c>
      <c r="B47" s="1">
        <v>45690.825651307867</v>
      </c>
      <c r="C47" s="1">
        <v>45694.825651307867</v>
      </c>
      <c r="D47" t="s">
        <v>21</v>
      </c>
      <c r="E47" t="s">
        <v>22</v>
      </c>
      <c r="F47" t="s">
        <v>34</v>
      </c>
      <c r="G47" t="s">
        <v>29</v>
      </c>
      <c r="H47" t="s">
        <v>18</v>
      </c>
      <c r="I47" t="s">
        <v>95</v>
      </c>
      <c r="J47">
        <v>13.17</v>
      </c>
      <c r="K47">
        <v>2</v>
      </c>
      <c r="L47">
        <v>0.15</v>
      </c>
      <c r="M47">
        <v>0.72</v>
      </c>
    </row>
    <row r="48" spans="1:13">
      <c r="A48" t="s">
        <v>96</v>
      </c>
      <c r="B48" s="1">
        <v>45691.55511021991</v>
      </c>
      <c r="C48" s="1">
        <v>45692.55511021991</v>
      </c>
      <c r="D48" t="s">
        <v>14</v>
      </c>
      <c r="E48" t="s">
        <v>22</v>
      </c>
      <c r="F48" t="s">
        <v>34</v>
      </c>
      <c r="G48" t="s">
        <v>35</v>
      </c>
      <c r="H48" t="s">
        <v>44</v>
      </c>
      <c r="I48" t="s">
        <v>40</v>
      </c>
      <c r="J48">
        <v>12.19</v>
      </c>
      <c r="K48">
        <v>1</v>
      </c>
      <c r="L48">
        <v>0.15</v>
      </c>
      <c r="M48">
        <v>0.48</v>
      </c>
    </row>
    <row r="49" spans="1:13">
      <c r="A49" t="s">
        <v>97</v>
      </c>
      <c r="B49" s="1">
        <v>45692.284569143521</v>
      </c>
      <c r="C49" s="1">
        <v>45696.284569143521</v>
      </c>
      <c r="D49" t="s">
        <v>63</v>
      </c>
      <c r="E49" t="s">
        <v>15</v>
      </c>
      <c r="F49" t="s">
        <v>16</v>
      </c>
      <c r="G49" t="s">
        <v>24</v>
      </c>
      <c r="H49" t="s">
        <v>39</v>
      </c>
      <c r="I49" t="s">
        <v>60</v>
      </c>
      <c r="J49">
        <v>4395.67</v>
      </c>
      <c r="K49">
        <v>7</v>
      </c>
      <c r="L49">
        <v>0.1</v>
      </c>
      <c r="M49">
        <v>554.45000000000005</v>
      </c>
    </row>
    <row r="50" spans="1:13">
      <c r="A50" t="s">
        <v>98</v>
      </c>
      <c r="B50" s="1">
        <v>45693.014028055557</v>
      </c>
      <c r="C50" s="1">
        <v>45699.014028055557</v>
      </c>
      <c r="D50" t="s">
        <v>33</v>
      </c>
      <c r="E50" t="s">
        <v>15</v>
      </c>
      <c r="F50" t="s">
        <v>34</v>
      </c>
      <c r="G50" t="s">
        <v>35</v>
      </c>
      <c r="H50" t="s">
        <v>53</v>
      </c>
      <c r="I50" t="s">
        <v>73</v>
      </c>
      <c r="J50">
        <v>57.66</v>
      </c>
      <c r="K50">
        <v>6</v>
      </c>
      <c r="L50">
        <v>0.2</v>
      </c>
      <c r="M50">
        <v>8</v>
      </c>
    </row>
    <row r="51" spans="1:13">
      <c r="A51" t="s">
        <v>99</v>
      </c>
      <c r="B51" s="1">
        <v>45693.743486979169</v>
      </c>
      <c r="C51" s="1">
        <v>45697.743486979169</v>
      </c>
      <c r="D51" t="s">
        <v>14</v>
      </c>
      <c r="E51" t="s">
        <v>42</v>
      </c>
      <c r="F51" t="s">
        <v>16</v>
      </c>
      <c r="G51" t="s">
        <v>35</v>
      </c>
      <c r="H51" t="s">
        <v>44</v>
      </c>
      <c r="I51" t="s">
        <v>19</v>
      </c>
      <c r="J51">
        <v>139.82</v>
      </c>
      <c r="K51">
        <v>1</v>
      </c>
      <c r="L51">
        <v>0.2</v>
      </c>
      <c r="M51">
        <v>22.68</v>
      </c>
    </row>
    <row r="52" spans="1:13">
      <c r="A52" t="s">
        <v>100</v>
      </c>
      <c r="B52" s="1">
        <v>45694.472945891204</v>
      </c>
      <c r="C52" s="1">
        <v>45695.472945891204</v>
      </c>
      <c r="D52" t="s">
        <v>33</v>
      </c>
      <c r="E52" t="s">
        <v>22</v>
      </c>
      <c r="F52" t="s">
        <v>23</v>
      </c>
      <c r="G52" t="s">
        <v>29</v>
      </c>
      <c r="H52" t="s">
        <v>36</v>
      </c>
      <c r="I52" t="s">
        <v>55</v>
      </c>
      <c r="J52">
        <v>550.36</v>
      </c>
      <c r="K52">
        <v>4</v>
      </c>
      <c r="L52">
        <v>0.05</v>
      </c>
      <c r="M52">
        <v>97.92</v>
      </c>
    </row>
    <row r="53" spans="1:13">
      <c r="A53" t="s">
        <v>101</v>
      </c>
      <c r="B53" s="1">
        <v>45695.202404814816</v>
      </c>
      <c r="C53" s="1">
        <v>45699.202404814816</v>
      </c>
      <c r="D53" t="s">
        <v>63</v>
      </c>
      <c r="E53" t="s">
        <v>42</v>
      </c>
      <c r="F53" t="s">
        <v>16</v>
      </c>
      <c r="G53" t="s">
        <v>29</v>
      </c>
      <c r="H53" t="s">
        <v>25</v>
      </c>
      <c r="I53" t="s">
        <v>64</v>
      </c>
      <c r="J53">
        <v>943.59</v>
      </c>
      <c r="K53">
        <v>5</v>
      </c>
      <c r="L53">
        <v>0.15</v>
      </c>
      <c r="M53">
        <v>126.96</v>
      </c>
    </row>
    <row r="54" spans="1:13">
      <c r="A54" t="s">
        <v>102</v>
      </c>
      <c r="B54" s="1">
        <v>45695.931863726852</v>
      </c>
      <c r="C54" s="1">
        <v>45700.931863726852</v>
      </c>
      <c r="D54" t="s">
        <v>33</v>
      </c>
      <c r="E54" t="s">
        <v>22</v>
      </c>
      <c r="F54" t="s">
        <v>34</v>
      </c>
      <c r="G54" t="s">
        <v>29</v>
      </c>
      <c r="H54" t="s">
        <v>49</v>
      </c>
      <c r="I54" t="s">
        <v>95</v>
      </c>
      <c r="J54">
        <v>68.12</v>
      </c>
      <c r="K54">
        <v>8</v>
      </c>
      <c r="L54">
        <v>0</v>
      </c>
      <c r="M54">
        <v>12.75</v>
      </c>
    </row>
    <row r="55" spans="1:13">
      <c r="A55" t="s">
        <v>103</v>
      </c>
      <c r="B55" s="1">
        <v>45696.661322650463</v>
      </c>
      <c r="C55" s="1">
        <v>45701.661322650463</v>
      </c>
      <c r="D55" t="s">
        <v>28</v>
      </c>
      <c r="E55" t="s">
        <v>42</v>
      </c>
      <c r="F55" t="s">
        <v>23</v>
      </c>
      <c r="G55" t="s">
        <v>17</v>
      </c>
      <c r="H55" t="s">
        <v>39</v>
      </c>
      <c r="I55" t="s">
        <v>31</v>
      </c>
      <c r="J55">
        <v>121.26</v>
      </c>
      <c r="K55">
        <v>1</v>
      </c>
      <c r="L55">
        <v>0.2</v>
      </c>
      <c r="M55">
        <v>18.600000000000001</v>
      </c>
    </row>
    <row r="56" spans="1:13">
      <c r="A56" t="s">
        <v>104</v>
      </c>
      <c r="B56" s="1">
        <v>45697.390781562499</v>
      </c>
      <c r="C56" s="1">
        <v>45703.390781562499</v>
      </c>
      <c r="D56" t="s">
        <v>14</v>
      </c>
      <c r="E56" t="s">
        <v>22</v>
      </c>
      <c r="F56" t="s">
        <v>23</v>
      </c>
      <c r="G56" t="s">
        <v>24</v>
      </c>
      <c r="H56" t="s">
        <v>36</v>
      </c>
      <c r="I56" t="s">
        <v>26</v>
      </c>
      <c r="J56">
        <v>2421.85</v>
      </c>
      <c r="K56">
        <v>6</v>
      </c>
      <c r="L56">
        <v>0.15</v>
      </c>
      <c r="M56">
        <v>162.13</v>
      </c>
    </row>
    <row r="57" spans="1:13">
      <c r="A57" t="s">
        <v>105</v>
      </c>
      <c r="B57" s="1">
        <v>45698.120240486111</v>
      </c>
      <c r="C57" s="1">
        <v>45699.120240486111</v>
      </c>
      <c r="D57" t="s">
        <v>14</v>
      </c>
      <c r="E57" t="s">
        <v>22</v>
      </c>
      <c r="F57" t="s">
        <v>23</v>
      </c>
      <c r="G57" t="s">
        <v>17</v>
      </c>
      <c r="H57" t="s">
        <v>30</v>
      </c>
      <c r="I57" t="s">
        <v>45</v>
      </c>
      <c r="J57">
        <v>1108.21</v>
      </c>
      <c r="K57">
        <v>4</v>
      </c>
      <c r="L57">
        <v>0</v>
      </c>
      <c r="M57">
        <v>196</v>
      </c>
    </row>
    <row r="58" spans="1:13">
      <c r="A58" t="s">
        <v>106</v>
      </c>
      <c r="B58" s="1">
        <v>45698.849699398146</v>
      </c>
      <c r="C58" s="1">
        <v>45700.849699398146</v>
      </c>
      <c r="D58" t="s">
        <v>28</v>
      </c>
      <c r="E58" t="s">
        <v>22</v>
      </c>
      <c r="F58" t="s">
        <v>23</v>
      </c>
      <c r="G58" t="s">
        <v>17</v>
      </c>
      <c r="H58" t="s">
        <v>18</v>
      </c>
      <c r="I58" t="s">
        <v>26</v>
      </c>
      <c r="J58">
        <v>502.84</v>
      </c>
      <c r="K58">
        <v>1</v>
      </c>
      <c r="L58">
        <v>0</v>
      </c>
      <c r="M58">
        <v>69.66</v>
      </c>
    </row>
    <row r="59" spans="1:13">
      <c r="A59" t="s">
        <v>107</v>
      </c>
      <c r="B59" s="1">
        <v>45699.579158321758</v>
      </c>
      <c r="C59" s="1">
        <v>45702.579158321758</v>
      </c>
      <c r="D59" t="s">
        <v>14</v>
      </c>
      <c r="E59" t="s">
        <v>22</v>
      </c>
      <c r="F59" t="s">
        <v>16</v>
      </c>
      <c r="G59" t="s">
        <v>29</v>
      </c>
      <c r="H59" t="s">
        <v>39</v>
      </c>
      <c r="I59" t="s">
        <v>19</v>
      </c>
      <c r="J59">
        <v>1423.78</v>
      </c>
      <c r="K59">
        <v>8</v>
      </c>
      <c r="L59">
        <v>0.1</v>
      </c>
      <c r="M59">
        <v>54.51</v>
      </c>
    </row>
    <row r="60" spans="1:13">
      <c r="A60" t="s">
        <v>108</v>
      </c>
      <c r="B60" s="1">
        <v>45700.308617233793</v>
      </c>
      <c r="C60" s="1">
        <v>45701.308617233793</v>
      </c>
      <c r="D60" t="s">
        <v>14</v>
      </c>
      <c r="E60" t="s">
        <v>42</v>
      </c>
      <c r="F60" t="s">
        <v>23</v>
      </c>
      <c r="G60" t="s">
        <v>17</v>
      </c>
      <c r="H60" t="s">
        <v>44</v>
      </c>
      <c r="I60" t="s">
        <v>45</v>
      </c>
      <c r="J60">
        <v>1938.22</v>
      </c>
      <c r="K60">
        <v>7</v>
      </c>
      <c r="L60">
        <v>0.1</v>
      </c>
      <c r="M60">
        <v>252.31</v>
      </c>
    </row>
    <row r="61" spans="1:13">
      <c r="A61" t="s">
        <v>109</v>
      </c>
      <c r="B61" s="1">
        <v>45701.038076157405</v>
      </c>
      <c r="C61" s="1">
        <v>45703.038076157405</v>
      </c>
      <c r="D61" t="s">
        <v>21</v>
      </c>
      <c r="E61" t="s">
        <v>42</v>
      </c>
      <c r="F61" t="s">
        <v>34</v>
      </c>
      <c r="G61" t="s">
        <v>17</v>
      </c>
      <c r="H61" t="s">
        <v>25</v>
      </c>
      <c r="I61" t="s">
        <v>40</v>
      </c>
      <c r="J61">
        <v>103.19</v>
      </c>
      <c r="K61">
        <v>8</v>
      </c>
      <c r="L61">
        <v>0.1</v>
      </c>
      <c r="M61">
        <v>6.07</v>
      </c>
    </row>
    <row r="62" spans="1:13">
      <c r="A62" t="s">
        <v>110</v>
      </c>
      <c r="B62" s="1">
        <v>45701.767535069448</v>
      </c>
      <c r="C62" s="1">
        <v>45706.767535069448</v>
      </c>
      <c r="D62" t="s">
        <v>28</v>
      </c>
      <c r="E62" t="s">
        <v>22</v>
      </c>
      <c r="F62" t="s">
        <v>16</v>
      </c>
      <c r="G62" t="s">
        <v>17</v>
      </c>
      <c r="H62" t="s">
        <v>44</v>
      </c>
      <c r="I62" t="s">
        <v>47</v>
      </c>
      <c r="J62">
        <v>163.16</v>
      </c>
      <c r="K62">
        <v>8</v>
      </c>
      <c r="L62">
        <v>0.1</v>
      </c>
      <c r="M62">
        <v>12.3</v>
      </c>
    </row>
    <row r="63" spans="1:13">
      <c r="A63" t="s">
        <v>111</v>
      </c>
      <c r="B63" s="1">
        <v>45702.496993993052</v>
      </c>
      <c r="C63" s="1">
        <v>45703.496993993052</v>
      </c>
      <c r="D63" t="s">
        <v>21</v>
      </c>
      <c r="E63" t="s">
        <v>42</v>
      </c>
      <c r="F63" t="s">
        <v>16</v>
      </c>
      <c r="G63" t="s">
        <v>17</v>
      </c>
      <c r="H63" t="s">
        <v>30</v>
      </c>
      <c r="I63" t="s">
        <v>112</v>
      </c>
      <c r="J63">
        <v>177</v>
      </c>
      <c r="K63">
        <v>5</v>
      </c>
      <c r="L63">
        <v>0.2</v>
      </c>
      <c r="M63">
        <v>16.75</v>
      </c>
    </row>
    <row r="64" spans="1:13">
      <c r="A64" t="s">
        <v>113</v>
      </c>
      <c r="B64" s="1">
        <v>45703.226452905095</v>
      </c>
      <c r="C64" s="1">
        <v>45704.226452905095</v>
      </c>
      <c r="D64" t="s">
        <v>14</v>
      </c>
      <c r="E64" t="s">
        <v>22</v>
      </c>
      <c r="F64" t="s">
        <v>34</v>
      </c>
      <c r="G64" t="s">
        <v>29</v>
      </c>
      <c r="H64" t="s">
        <v>39</v>
      </c>
      <c r="I64" t="s">
        <v>95</v>
      </c>
      <c r="J64">
        <v>39.01</v>
      </c>
      <c r="K64">
        <v>5</v>
      </c>
      <c r="L64">
        <v>0</v>
      </c>
      <c r="M64">
        <v>8.0299999999999994</v>
      </c>
    </row>
    <row r="65" spans="1:13">
      <c r="A65" t="s">
        <v>114</v>
      </c>
      <c r="B65" s="1">
        <v>45703.955911828707</v>
      </c>
      <c r="C65" s="1">
        <v>45704.955911828707</v>
      </c>
      <c r="D65" t="s">
        <v>33</v>
      </c>
      <c r="E65" t="s">
        <v>15</v>
      </c>
      <c r="F65" t="s">
        <v>23</v>
      </c>
      <c r="G65" t="s">
        <v>29</v>
      </c>
      <c r="H65" t="s">
        <v>25</v>
      </c>
      <c r="I65" t="s">
        <v>55</v>
      </c>
      <c r="J65">
        <v>345</v>
      </c>
      <c r="K65">
        <v>3</v>
      </c>
      <c r="L65">
        <v>0.1</v>
      </c>
      <c r="M65">
        <v>10.91</v>
      </c>
    </row>
    <row r="66" spans="1:13">
      <c r="A66" t="s">
        <v>115</v>
      </c>
      <c r="B66" s="1">
        <v>45704.685370740743</v>
      </c>
      <c r="C66" s="1">
        <v>45706.685370740743</v>
      </c>
      <c r="D66" t="s">
        <v>21</v>
      </c>
      <c r="E66" t="s">
        <v>15</v>
      </c>
      <c r="F66" t="s">
        <v>34</v>
      </c>
      <c r="G66" t="s">
        <v>24</v>
      </c>
      <c r="H66" t="s">
        <v>18</v>
      </c>
      <c r="I66" t="s">
        <v>95</v>
      </c>
      <c r="J66">
        <v>39.049999999999997</v>
      </c>
      <c r="K66">
        <v>6</v>
      </c>
      <c r="L66">
        <v>0.2</v>
      </c>
      <c r="M66">
        <v>4.71</v>
      </c>
    </row>
    <row r="67" spans="1:13">
      <c r="A67" t="s">
        <v>116</v>
      </c>
      <c r="B67" s="1">
        <v>45705.414829664354</v>
      </c>
      <c r="C67" s="1">
        <v>45706.414829664354</v>
      </c>
      <c r="D67" t="s">
        <v>21</v>
      </c>
      <c r="E67" t="s">
        <v>15</v>
      </c>
      <c r="F67" t="s">
        <v>23</v>
      </c>
      <c r="G67" t="s">
        <v>17</v>
      </c>
      <c r="H67" t="s">
        <v>39</v>
      </c>
      <c r="I67" t="s">
        <v>45</v>
      </c>
      <c r="J67">
        <v>214.46</v>
      </c>
      <c r="K67">
        <v>1</v>
      </c>
      <c r="L67">
        <v>0.3</v>
      </c>
      <c r="M67">
        <v>-0.82</v>
      </c>
    </row>
    <row r="68" spans="1:13">
      <c r="A68" t="s">
        <v>117</v>
      </c>
      <c r="B68" s="1">
        <v>45706.14428857639</v>
      </c>
      <c r="C68" s="1">
        <v>45712.14428857639</v>
      </c>
      <c r="D68" t="s">
        <v>28</v>
      </c>
      <c r="E68" t="s">
        <v>22</v>
      </c>
      <c r="F68" t="s">
        <v>34</v>
      </c>
      <c r="G68" t="s">
        <v>29</v>
      </c>
      <c r="H68" t="s">
        <v>30</v>
      </c>
      <c r="I68" t="s">
        <v>87</v>
      </c>
      <c r="J68">
        <v>128.01</v>
      </c>
      <c r="K68">
        <v>6</v>
      </c>
      <c r="L68">
        <v>0.15</v>
      </c>
      <c r="M68">
        <v>20.6</v>
      </c>
    </row>
    <row r="69" spans="1:13">
      <c r="A69" t="s">
        <v>118</v>
      </c>
      <c r="B69" s="1">
        <v>45706.873747500002</v>
      </c>
      <c r="C69" s="1">
        <v>45712.873747500002</v>
      </c>
      <c r="D69" t="s">
        <v>21</v>
      </c>
      <c r="E69" t="s">
        <v>15</v>
      </c>
      <c r="F69" t="s">
        <v>34</v>
      </c>
      <c r="G69" t="s">
        <v>35</v>
      </c>
      <c r="H69" t="s">
        <v>39</v>
      </c>
      <c r="I69" t="s">
        <v>73</v>
      </c>
      <c r="J69">
        <v>85.03</v>
      </c>
      <c r="K69">
        <v>8</v>
      </c>
      <c r="L69">
        <v>0.1</v>
      </c>
      <c r="M69">
        <v>14.14</v>
      </c>
    </row>
    <row r="70" spans="1:13">
      <c r="A70" t="s">
        <v>119</v>
      </c>
      <c r="B70" s="1">
        <v>45707.603206412037</v>
      </c>
      <c r="C70" s="1">
        <v>45710.603206412037</v>
      </c>
      <c r="D70" t="s">
        <v>14</v>
      </c>
      <c r="E70" t="s">
        <v>15</v>
      </c>
      <c r="F70" t="s">
        <v>16</v>
      </c>
      <c r="G70" t="s">
        <v>29</v>
      </c>
      <c r="H70" t="s">
        <v>25</v>
      </c>
      <c r="I70" t="s">
        <v>47</v>
      </c>
      <c r="J70">
        <v>48.35</v>
      </c>
      <c r="K70">
        <v>2</v>
      </c>
      <c r="L70">
        <v>0.05</v>
      </c>
      <c r="M70">
        <v>5.47</v>
      </c>
    </row>
    <row r="71" spans="1:13">
      <c r="A71" t="s">
        <v>120</v>
      </c>
      <c r="B71" s="1">
        <v>45708.332665335649</v>
      </c>
      <c r="C71" s="1">
        <v>45709.332665335649</v>
      </c>
      <c r="D71" t="s">
        <v>33</v>
      </c>
      <c r="E71" t="s">
        <v>22</v>
      </c>
      <c r="F71" t="s">
        <v>23</v>
      </c>
      <c r="G71" t="s">
        <v>17</v>
      </c>
      <c r="H71" t="s">
        <v>36</v>
      </c>
      <c r="I71" t="s">
        <v>31</v>
      </c>
      <c r="J71">
        <v>982.62</v>
      </c>
      <c r="K71">
        <v>8</v>
      </c>
      <c r="L71">
        <v>0.2</v>
      </c>
      <c r="M71">
        <v>82.78</v>
      </c>
    </row>
    <row r="72" spans="1:13">
      <c r="A72" t="s">
        <v>121</v>
      </c>
      <c r="B72" s="1">
        <v>45709.062124247685</v>
      </c>
      <c r="C72" s="1">
        <v>45714.062124247685</v>
      </c>
      <c r="D72" t="s">
        <v>21</v>
      </c>
      <c r="E72" t="s">
        <v>22</v>
      </c>
      <c r="F72" t="s">
        <v>34</v>
      </c>
      <c r="G72" t="s">
        <v>29</v>
      </c>
      <c r="H72" t="s">
        <v>49</v>
      </c>
      <c r="I72" t="s">
        <v>87</v>
      </c>
      <c r="J72">
        <v>23.56</v>
      </c>
      <c r="K72">
        <v>1</v>
      </c>
      <c r="L72">
        <v>0.05</v>
      </c>
      <c r="M72">
        <v>5.16</v>
      </c>
    </row>
    <row r="73" spans="1:13">
      <c r="A73" t="s">
        <v>122</v>
      </c>
      <c r="B73" s="1">
        <v>45709.791583171296</v>
      </c>
      <c r="C73" s="1">
        <v>45712.791583171296</v>
      </c>
      <c r="D73" t="s">
        <v>52</v>
      </c>
      <c r="E73" t="s">
        <v>22</v>
      </c>
      <c r="F73" t="s">
        <v>23</v>
      </c>
      <c r="G73" t="s">
        <v>35</v>
      </c>
      <c r="H73" t="s">
        <v>44</v>
      </c>
      <c r="I73" t="s">
        <v>55</v>
      </c>
      <c r="J73">
        <v>374.99</v>
      </c>
      <c r="K73">
        <v>3</v>
      </c>
      <c r="L73">
        <v>0.1</v>
      </c>
      <c r="M73">
        <v>48.85</v>
      </c>
    </row>
    <row r="74" spans="1:13">
      <c r="A74" t="s">
        <v>123</v>
      </c>
      <c r="B74" s="1">
        <v>45710.521042083332</v>
      </c>
      <c r="C74" s="1">
        <v>45715.521042083332</v>
      </c>
      <c r="D74" t="s">
        <v>21</v>
      </c>
      <c r="E74" t="s">
        <v>42</v>
      </c>
      <c r="F74" t="s">
        <v>23</v>
      </c>
      <c r="G74" t="s">
        <v>24</v>
      </c>
      <c r="H74" t="s">
        <v>30</v>
      </c>
      <c r="I74" t="s">
        <v>31</v>
      </c>
      <c r="J74">
        <v>1201.23</v>
      </c>
      <c r="K74">
        <v>8</v>
      </c>
      <c r="L74">
        <v>0</v>
      </c>
      <c r="M74">
        <v>80.91</v>
      </c>
    </row>
    <row r="75" spans="1:13">
      <c r="A75" t="s">
        <v>124</v>
      </c>
      <c r="B75" s="1">
        <v>45711.250501006944</v>
      </c>
      <c r="C75" s="1">
        <v>45717.250501006944</v>
      </c>
      <c r="D75" t="s">
        <v>21</v>
      </c>
      <c r="E75" t="s">
        <v>22</v>
      </c>
      <c r="F75" t="s">
        <v>16</v>
      </c>
      <c r="G75" t="s">
        <v>35</v>
      </c>
      <c r="H75" t="s">
        <v>53</v>
      </c>
      <c r="I75" t="s">
        <v>60</v>
      </c>
      <c r="J75">
        <v>2753.21</v>
      </c>
      <c r="K75">
        <v>5</v>
      </c>
      <c r="L75">
        <v>0.1</v>
      </c>
      <c r="M75">
        <v>249.35</v>
      </c>
    </row>
    <row r="76" spans="1:13">
      <c r="A76" t="s">
        <v>125</v>
      </c>
      <c r="B76" s="1">
        <v>45711.979959918979</v>
      </c>
      <c r="C76" s="1">
        <v>45716.979959918979</v>
      </c>
      <c r="D76" t="s">
        <v>63</v>
      </c>
      <c r="E76" t="s">
        <v>42</v>
      </c>
      <c r="F76" t="s">
        <v>16</v>
      </c>
      <c r="G76" t="s">
        <v>17</v>
      </c>
      <c r="H76" t="s">
        <v>53</v>
      </c>
      <c r="I76" t="s">
        <v>60</v>
      </c>
      <c r="J76">
        <v>4191.3900000000003</v>
      </c>
      <c r="K76">
        <v>6</v>
      </c>
      <c r="L76">
        <v>0</v>
      </c>
      <c r="M76">
        <v>946.24</v>
      </c>
    </row>
    <row r="77" spans="1:13">
      <c r="A77" t="s">
        <v>126</v>
      </c>
      <c r="B77" s="1">
        <v>45712.709418842591</v>
      </c>
      <c r="C77" s="1">
        <v>45718.709418842591</v>
      </c>
      <c r="D77" t="s">
        <v>21</v>
      </c>
      <c r="E77" t="s">
        <v>15</v>
      </c>
      <c r="F77" t="s">
        <v>16</v>
      </c>
      <c r="G77" t="s">
        <v>29</v>
      </c>
      <c r="H77" t="s">
        <v>44</v>
      </c>
      <c r="I77" t="s">
        <v>112</v>
      </c>
      <c r="J77">
        <v>158.65</v>
      </c>
      <c r="K77">
        <v>5</v>
      </c>
      <c r="L77">
        <v>0.3</v>
      </c>
      <c r="M77">
        <v>19.25</v>
      </c>
    </row>
    <row r="78" spans="1:13">
      <c r="A78" t="s">
        <v>127</v>
      </c>
      <c r="B78" s="1">
        <v>45713.438877754626</v>
      </c>
      <c r="C78" s="1">
        <v>45719.438877754626</v>
      </c>
      <c r="D78" t="s">
        <v>14</v>
      </c>
      <c r="E78" t="s">
        <v>15</v>
      </c>
      <c r="F78" t="s">
        <v>34</v>
      </c>
      <c r="G78" t="s">
        <v>17</v>
      </c>
      <c r="H78" t="s">
        <v>18</v>
      </c>
      <c r="I78" t="s">
        <v>87</v>
      </c>
      <c r="J78">
        <v>138.99</v>
      </c>
      <c r="K78">
        <v>6</v>
      </c>
      <c r="L78">
        <v>0</v>
      </c>
      <c r="M78">
        <v>25.53</v>
      </c>
    </row>
    <row r="79" spans="1:13">
      <c r="A79" t="s">
        <v>128</v>
      </c>
      <c r="B79" s="1">
        <v>45714.168336678238</v>
      </c>
      <c r="C79" s="1">
        <v>45716.168336678238</v>
      </c>
      <c r="D79" t="s">
        <v>63</v>
      </c>
      <c r="E79" t="s">
        <v>22</v>
      </c>
      <c r="F79" t="s">
        <v>34</v>
      </c>
      <c r="G79" t="s">
        <v>35</v>
      </c>
      <c r="H79" t="s">
        <v>30</v>
      </c>
      <c r="I79" t="s">
        <v>37</v>
      </c>
      <c r="J79">
        <v>27.18</v>
      </c>
      <c r="K79">
        <v>3</v>
      </c>
      <c r="L79">
        <v>0.05</v>
      </c>
      <c r="M79">
        <v>3</v>
      </c>
    </row>
    <row r="80" spans="1:13">
      <c r="A80" t="s">
        <v>129</v>
      </c>
      <c r="B80" s="1">
        <v>45714.897795590281</v>
      </c>
      <c r="C80" s="1">
        <v>45717.897795590281</v>
      </c>
      <c r="D80" t="s">
        <v>63</v>
      </c>
      <c r="E80" t="s">
        <v>22</v>
      </c>
      <c r="F80" t="s">
        <v>16</v>
      </c>
      <c r="G80" t="s">
        <v>29</v>
      </c>
      <c r="H80" t="s">
        <v>39</v>
      </c>
      <c r="I80" t="s">
        <v>47</v>
      </c>
      <c r="J80">
        <v>20.37</v>
      </c>
      <c r="K80">
        <v>1</v>
      </c>
      <c r="L80">
        <v>0.2</v>
      </c>
      <c r="M80">
        <v>2.29</v>
      </c>
    </row>
    <row r="81" spans="1:13">
      <c r="A81" t="s">
        <v>130</v>
      </c>
      <c r="B81" s="1">
        <v>45715.627254513885</v>
      </c>
      <c r="C81" s="1">
        <v>45717.627254513885</v>
      </c>
      <c r="D81" t="s">
        <v>63</v>
      </c>
      <c r="E81" t="s">
        <v>22</v>
      </c>
      <c r="F81" t="s">
        <v>23</v>
      </c>
      <c r="G81" t="s">
        <v>29</v>
      </c>
      <c r="H81" t="s">
        <v>25</v>
      </c>
      <c r="I81" t="s">
        <v>45</v>
      </c>
      <c r="J81">
        <v>549.35</v>
      </c>
      <c r="K81">
        <v>2</v>
      </c>
      <c r="L81">
        <v>0.1</v>
      </c>
      <c r="M81">
        <v>69.55</v>
      </c>
    </row>
    <row r="82" spans="1:13">
      <c r="A82" t="s">
        <v>131</v>
      </c>
      <c r="B82" s="1">
        <v>45716.356713425928</v>
      </c>
      <c r="C82" s="1">
        <v>45717.356713425928</v>
      </c>
      <c r="D82" t="s">
        <v>33</v>
      </c>
      <c r="E82" t="s">
        <v>42</v>
      </c>
      <c r="F82" t="s">
        <v>23</v>
      </c>
      <c r="G82" t="s">
        <v>24</v>
      </c>
      <c r="H82" t="s">
        <v>30</v>
      </c>
      <c r="I82" t="s">
        <v>45</v>
      </c>
      <c r="J82">
        <v>938.19</v>
      </c>
      <c r="K82">
        <v>3</v>
      </c>
      <c r="L82">
        <v>0.05</v>
      </c>
      <c r="M82">
        <v>142.16999999999999</v>
      </c>
    </row>
    <row r="83" spans="1:13">
      <c r="A83" t="s">
        <v>132</v>
      </c>
      <c r="B83" s="1">
        <v>45717.08617234954</v>
      </c>
      <c r="C83" s="1">
        <v>45718.08617234954</v>
      </c>
      <c r="D83" t="s">
        <v>14</v>
      </c>
      <c r="E83" t="s">
        <v>15</v>
      </c>
      <c r="F83" t="s">
        <v>16</v>
      </c>
      <c r="G83" t="s">
        <v>35</v>
      </c>
      <c r="H83" t="s">
        <v>44</v>
      </c>
      <c r="I83" t="s">
        <v>47</v>
      </c>
      <c r="J83">
        <v>143.55000000000001</v>
      </c>
      <c r="K83">
        <v>6</v>
      </c>
      <c r="L83">
        <v>0</v>
      </c>
      <c r="M83">
        <v>13.09</v>
      </c>
    </row>
    <row r="84" spans="1:13">
      <c r="A84" t="s">
        <v>133</v>
      </c>
      <c r="B84" s="1">
        <v>45717.815631261576</v>
      </c>
      <c r="C84" s="1">
        <v>45718.815631261576</v>
      </c>
      <c r="D84" t="s">
        <v>52</v>
      </c>
      <c r="E84" t="s">
        <v>42</v>
      </c>
      <c r="F84" t="s">
        <v>34</v>
      </c>
      <c r="G84" t="s">
        <v>35</v>
      </c>
      <c r="H84" t="s">
        <v>30</v>
      </c>
      <c r="I84" t="s">
        <v>87</v>
      </c>
      <c r="J84">
        <v>75.12</v>
      </c>
      <c r="K84">
        <v>4</v>
      </c>
      <c r="L84">
        <v>0.3</v>
      </c>
      <c r="M84">
        <v>7.67</v>
      </c>
    </row>
    <row r="85" spans="1:13">
      <c r="A85" t="s">
        <v>134</v>
      </c>
      <c r="B85" s="1">
        <v>45718.545090185187</v>
      </c>
      <c r="C85" s="1">
        <v>45720.545090185187</v>
      </c>
      <c r="D85" t="s">
        <v>52</v>
      </c>
      <c r="E85" t="s">
        <v>15</v>
      </c>
      <c r="F85" t="s">
        <v>34</v>
      </c>
      <c r="G85" t="s">
        <v>17</v>
      </c>
      <c r="H85" t="s">
        <v>53</v>
      </c>
      <c r="I85" t="s">
        <v>37</v>
      </c>
      <c r="J85">
        <v>76.88</v>
      </c>
      <c r="K85">
        <v>8</v>
      </c>
      <c r="L85">
        <v>0.1</v>
      </c>
      <c r="M85">
        <v>4.76</v>
      </c>
    </row>
    <row r="86" spans="1:13">
      <c r="A86" t="s">
        <v>135</v>
      </c>
      <c r="B86" s="1">
        <v>45719.274549097223</v>
      </c>
      <c r="C86" s="1">
        <v>45725.274549097223</v>
      </c>
      <c r="D86" t="s">
        <v>14</v>
      </c>
      <c r="E86" t="s">
        <v>15</v>
      </c>
      <c r="F86" t="s">
        <v>34</v>
      </c>
      <c r="G86" t="s">
        <v>17</v>
      </c>
      <c r="H86" t="s">
        <v>18</v>
      </c>
      <c r="I86" t="s">
        <v>40</v>
      </c>
      <c r="J86">
        <v>94.03</v>
      </c>
      <c r="K86">
        <v>7</v>
      </c>
      <c r="L86">
        <v>0.15</v>
      </c>
      <c r="M86">
        <v>2.1800000000000002</v>
      </c>
    </row>
    <row r="87" spans="1:13">
      <c r="A87" t="s">
        <v>136</v>
      </c>
      <c r="B87" s="1">
        <v>45720.004008020835</v>
      </c>
      <c r="C87" s="1">
        <v>45724.004008020835</v>
      </c>
      <c r="D87" t="s">
        <v>21</v>
      </c>
      <c r="E87" t="s">
        <v>22</v>
      </c>
      <c r="F87" t="s">
        <v>23</v>
      </c>
      <c r="G87" t="s">
        <v>17</v>
      </c>
      <c r="H87" t="s">
        <v>36</v>
      </c>
      <c r="I87" t="s">
        <v>31</v>
      </c>
      <c r="J87">
        <v>845.32</v>
      </c>
      <c r="K87">
        <v>6</v>
      </c>
      <c r="L87">
        <v>0.05</v>
      </c>
      <c r="M87">
        <v>45.57</v>
      </c>
    </row>
    <row r="88" spans="1:13">
      <c r="A88" t="s">
        <v>137</v>
      </c>
      <c r="B88" s="1">
        <v>45720.73346693287</v>
      </c>
      <c r="C88" s="1">
        <v>45723.73346693287</v>
      </c>
      <c r="D88" t="s">
        <v>52</v>
      </c>
      <c r="E88" t="s">
        <v>15</v>
      </c>
      <c r="F88" t="s">
        <v>16</v>
      </c>
      <c r="G88" t="s">
        <v>24</v>
      </c>
      <c r="H88" t="s">
        <v>18</v>
      </c>
      <c r="I88" t="s">
        <v>19</v>
      </c>
      <c r="J88">
        <v>155.93</v>
      </c>
      <c r="K88">
        <v>1</v>
      </c>
      <c r="L88">
        <v>0.15</v>
      </c>
      <c r="M88">
        <v>14.41</v>
      </c>
    </row>
    <row r="89" spans="1:13">
      <c r="A89" t="s">
        <v>138</v>
      </c>
      <c r="B89" s="1">
        <v>45721.462925856482</v>
      </c>
      <c r="C89" s="1">
        <v>45725.462925856482</v>
      </c>
      <c r="D89" t="s">
        <v>14</v>
      </c>
      <c r="E89" t="s">
        <v>15</v>
      </c>
      <c r="F89" t="s">
        <v>34</v>
      </c>
      <c r="G89" t="s">
        <v>24</v>
      </c>
      <c r="H89" t="s">
        <v>44</v>
      </c>
      <c r="I89" t="s">
        <v>40</v>
      </c>
      <c r="J89">
        <v>31.39</v>
      </c>
      <c r="K89">
        <v>2</v>
      </c>
      <c r="L89">
        <v>0</v>
      </c>
      <c r="M89">
        <v>7.19</v>
      </c>
    </row>
    <row r="90" spans="1:13">
      <c r="A90" t="s">
        <v>139</v>
      </c>
      <c r="B90" s="1">
        <v>45722.192384768518</v>
      </c>
      <c r="C90" s="1">
        <v>45726.192384768518</v>
      </c>
      <c r="D90" t="s">
        <v>52</v>
      </c>
      <c r="E90" t="s">
        <v>15</v>
      </c>
      <c r="F90" t="s">
        <v>34</v>
      </c>
      <c r="G90" t="s">
        <v>24</v>
      </c>
      <c r="H90" t="s">
        <v>18</v>
      </c>
      <c r="I90" t="s">
        <v>40</v>
      </c>
      <c r="J90">
        <v>108.69</v>
      </c>
      <c r="K90">
        <v>8</v>
      </c>
      <c r="L90">
        <v>0.15</v>
      </c>
      <c r="M90">
        <v>15.5</v>
      </c>
    </row>
    <row r="91" spans="1:13">
      <c r="A91" t="s">
        <v>140</v>
      </c>
      <c r="B91" s="1">
        <v>45722.921843692129</v>
      </c>
      <c r="C91" s="1">
        <v>45723.921843692129</v>
      </c>
      <c r="D91" t="s">
        <v>21</v>
      </c>
      <c r="E91" t="s">
        <v>15</v>
      </c>
      <c r="F91" t="s">
        <v>34</v>
      </c>
      <c r="G91" t="s">
        <v>17</v>
      </c>
      <c r="H91" t="s">
        <v>30</v>
      </c>
      <c r="I91" t="s">
        <v>37</v>
      </c>
      <c r="J91">
        <v>52.48</v>
      </c>
      <c r="K91">
        <v>6</v>
      </c>
      <c r="L91">
        <v>0.1</v>
      </c>
      <c r="M91">
        <v>9.6</v>
      </c>
    </row>
    <row r="92" spans="1:13">
      <c r="A92" t="s">
        <v>141</v>
      </c>
      <c r="B92" s="1">
        <v>45723.651302604165</v>
      </c>
      <c r="C92" s="1">
        <v>45724.651302604165</v>
      </c>
      <c r="D92" t="s">
        <v>63</v>
      </c>
      <c r="E92" t="s">
        <v>15</v>
      </c>
      <c r="F92" t="s">
        <v>34</v>
      </c>
      <c r="G92" t="s">
        <v>35</v>
      </c>
      <c r="H92" t="s">
        <v>36</v>
      </c>
      <c r="I92" t="s">
        <v>95</v>
      </c>
      <c r="J92">
        <v>42.67</v>
      </c>
      <c r="K92">
        <v>6</v>
      </c>
      <c r="L92">
        <v>0.1</v>
      </c>
      <c r="M92">
        <v>5.5</v>
      </c>
    </row>
    <row r="93" spans="1:13">
      <c r="A93" t="s">
        <v>142</v>
      </c>
      <c r="B93" s="1">
        <v>45724.380761527776</v>
      </c>
      <c r="C93" s="1">
        <v>45727.380761527776</v>
      </c>
      <c r="D93" t="s">
        <v>21</v>
      </c>
      <c r="E93" t="s">
        <v>15</v>
      </c>
      <c r="F93" t="s">
        <v>23</v>
      </c>
      <c r="G93" t="s">
        <v>35</v>
      </c>
      <c r="H93" t="s">
        <v>18</v>
      </c>
      <c r="I93" t="s">
        <v>26</v>
      </c>
      <c r="J93">
        <v>3324.17</v>
      </c>
      <c r="K93">
        <v>8</v>
      </c>
      <c r="L93">
        <v>0.1</v>
      </c>
      <c r="M93">
        <v>645.45000000000005</v>
      </c>
    </row>
    <row r="94" spans="1:13">
      <c r="A94" t="s">
        <v>143</v>
      </c>
      <c r="B94" s="1">
        <v>45725.110220439812</v>
      </c>
      <c r="C94" s="1">
        <v>45730.110220439812</v>
      </c>
      <c r="D94" t="s">
        <v>33</v>
      </c>
      <c r="E94" t="s">
        <v>15</v>
      </c>
      <c r="F94" t="s">
        <v>23</v>
      </c>
      <c r="G94" t="s">
        <v>35</v>
      </c>
      <c r="H94" t="s">
        <v>53</v>
      </c>
      <c r="I94" t="s">
        <v>45</v>
      </c>
      <c r="J94">
        <v>2078.13</v>
      </c>
      <c r="K94">
        <v>7</v>
      </c>
      <c r="L94">
        <v>0.1</v>
      </c>
      <c r="M94">
        <v>333.4</v>
      </c>
    </row>
    <row r="95" spans="1:13">
      <c r="A95" t="s">
        <v>144</v>
      </c>
      <c r="B95" s="1">
        <v>45725.839679363424</v>
      </c>
      <c r="C95" s="1">
        <v>45730.839679363424</v>
      </c>
      <c r="D95" t="s">
        <v>28</v>
      </c>
      <c r="E95" t="s">
        <v>22</v>
      </c>
      <c r="F95" t="s">
        <v>16</v>
      </c>
      <c r="G95" t="s">
        <v>17</v>
      </c>
      <c r="H95" t="s">
        <v>25</v>
      </c>
      <c r="I95" t="s">
        <v>64</v>
      </c>
      <c r="J95">
        <v>416.17</v>
      </c>
      <c r="K95">
        <v>2</v>
      </c>
      <c r="L95">
        <v>0.1</v>
      </c>
      <c r="M95">
        <v>18.11</v>
      </c>
    </row>
    <row r="96" spans="1:13">
      <c r="A96" t="s">
        <v>145</v>
      </c>
      <c r="B96" s="1">
        <v>45726.569138275459</v>
      </c>
      <c r="C96" s="1">
        <v>45728.569138275459</v>
      </c>
      <c r="D96" t="s">
        <v>14</v>
      </c>
      <c r="E96" t="s">
        <v>15</v>
      </c>
      <c r="F96" t="s">
        <v>23</v>
      </c>
      <c r="G96" t="s">
        <v>35</v>
      </c>
      <c r="H96" t="s">
        <v>49</v>
      </c>
      <c r="I96" t="s">
        <v>31</v>
      </c>
      <c r="J96">
        <v>1210.69</v>
      </c>
      <c r="K96">
        <v>8</v>
      </c>
      <c r="L96">
        <v>0</v>
      </c>
      <c r="M96">
        <v>230.04</v>
      </c>
    </row>
    <row r="97" spans="1:13">
      <c r="A97" t="s">
        <v>146</v>
      </c>
      <c r="B97" s="1">
        <v>45727.298597199071</v>
      </c>
      <c r="C97" s="1">
        <v>45733.298597199071</v>
      </c>
      <c r="D97" t="s">
        <v>52</v>
      </c>
      <c r="E97" t="s">
        <v>15</v>
      </c>
      <c r="F97" t="s">
        <v>23</v>
      </c>
      <c r="G97" t="s">
        <v>35</v>
      </c>
      <c r="H97" t="s">
        <v>36</v>
      </c>
      <c r="I97" t="s">
        <v>45</v>
      </c>
      <c r="J97">
        <v>862.94</v>
      </c>
      <c r="K97">
        <v>3</v>
      </c>
      <c r="L97">
        <v>0.1</v>
      </c>
      <c r="M97">
        <v>170.55</v>
      </c>
    </row>
    <row r="98" spans="1:13">
      <c r="A98" t="s">
        <v>147</v>
      </c>
      <c r="B98" s="1">
        <v>45728.028056111114</v>
      </c>
      <c r="C98" s="1">
        <v>45732.028056111114</v>
      </c>
      <c r="D98" t="s">
        <v>14</v>
      </c>
      <c r="E98" t="s">
        <v>22</v>
      </c>
      <c r="F98" t="s">
        <v>34</v>
      </c>
      <c r="G98" t="s">
        <v>17</v>
      </c>
      <c r="H98" t="s">
        <v>18</v>
      </c>
      <c r="I98" t="s">
        <v>40</v>
      </c>
      <c r="J98">
        <v>27.03</v>
      </c>
      <c r="K98">
        <v>2</v>
      </c>
      <c r="L98">
        <v>0.1</v>
      </c>
      <c r="M98">
        <v>3.65</v>
      </c>
    </row>
    <row r="99" spans="1:13">
      <c r="A99" t="s">
        <v>148</v>
      </c>
      <c r="B99" s="1">
        <v>45728.757515034726</v>
      </c>
      <c r="C99" s="1">
        <v>45733.757515034726</v>
      </c>
      <c r="D99" t="s">
        <v>52</v>
      </c>
      <c r="E99" t="s">
        <v>22</v>
      </c>
      <c r="F99" t="s">
        <v>34</v>
      </c>
      <c r="G99" t="s">
        <v>29</v>
      </c>
      <c r="H99" t="s">
        <v>49</v>
      </c>
      <c r="I99" t="s">
        <v>87</v>
      </c>
      <c r="J99">
        <v>22.98</v>
      </c>
      <c r="K99">
        <v>1</v>
      </c>
      <c r="L99">
        <v>0.1</v>
      </c>
      <c r="M99">
        <v>2.33</v>
      </c>
    </row>
    <row r="100" spans="1:13">
      <c r="A100" t="s">
        <v>149</v>
      </c>
      <c r="B100" s="1">
        <v>45729.486973946761</v>
      </c>
      <c r="C100" s="1">
        <v>45730.486973946761</v>
      </c>
      <c r="D100" t="s">
        <v>63</v>
      </c>
      <c r="E100" t="s">
        <v>15</v>
      </c>
      <c r="F100" t="s">
        <v>23</v>
      </c>
      <c r="G100" t="s">
        <v>29</v>
      </c>
      <c r="H100" t="s">
        <v>39</v>
      </c>
      <c r="I100" t="s">
        <v>45</v>
      </c>
      <c r="J100">
        <v>1121.17</v>
      </c>
      <c r="K100">
        <v>5</v>
      </c>
      <c r="L100">
        <v>0.3</v>
      </c>
      <c r="M100">
        <v>-25.29</v>
      </c>
    </row>
    <row r="101" spans="1:13">
      <c r="A101" t="s">
        <v>150</v>
      </c>
      <c r="B101" s="1">
        <v>45730.216432870373</v>
      </c>
      <c r="C101" s="1">
        <v>45735.216432870373</v>
      </c>
      <c r="D101" t="s">
        <v>21</v>
      </c>
      <c r="E101" t="s">
        <v>22</v>
      </c>
      <c r="F101" t="s">
        <v>16</v>
      </c>
      <c r="G101" t="s">
        <v>35</v>
      </c>
      <c r="H101" t="s">
        <v>39</v>
      </c>
      <c r="I101" t="s">
        <v>19</v>
      </c>
      <c r="J101">
        <v>1218.47</v>
      </c>
      <c r="K101">
        <v>7</v>
      </c>
      <c r="L101">
        <v>0</v>
      </c>
      <c r="M101">
        <v>249.19</v>
      </c>
    </row>
    <row r="102" spans="1:13">
      <c r="A102" t="s">
        <v>151</v>
      </c>
      <c r="B102" s="1">
        <v>45730.945891782409</v>
      </c>
      <c r="C102" s="1">
        <v>45733.945891782409</v>
      </c>
      <c r="D102" t="s">
        <v>63</v>
      </c>
      <c r="E102" t="s">
        <v>15</v>
      </c>
      <c r="F102" t="s">
        <v>23</v>
      </c>
      <c r="G102" t="s">
        <v>35</v>
      </c>
      <c r="H102" t="s">
        <v>25</v>
      </c>
      <c r="I102" t="s">
        <v>45</v>
      </c>
      <c r="J102">
        <v>715.06</v>
      </c>
      <c r="K102">
        <v>3</v>
      </c>
      <c r="L102">
        <v>0.2</v>
      </c>
      <c r="M102">
        <v>54.74</v>
      </c>
    </row>
    <row r="103" spans="1:13">
      <c r="A103" t="s">
        <v>152</v>
      </c>
      <c r="B103" s="1">
        <v>45731.67535070602</v>
      </c>
      <c r="C103" s="1">
        <v>45736.67535070602</v>
      </c>
      <c r="D103" t="s">
        <v>14</v>
      </c>
      <c r="E103" t="s">
        <v>42</v>
      </c>
      <c r="F103" t="s">
        <v>34</v>
      </c>
      <c r="G103" t="s">
        <v>29</v>
      </c>
      <c r="H103" t="s">
        <v>25</v>
      </c>
      <c r="I103" t="s">
        <v>73</v>
      </c>
      <c r="J103">
        <v>76.17</v>
      </c>
      <c r="K103">
        <v>7</v>
      </c>
      <c r="L103">
        <v>0</v>
      </c>
      <c r="M103">
        <v>8.84</v>
      </c>
    </row>
    <row r="104" spans="1:13">
      <c r="A104" t="s">
        <v>153</v>
      </c>
      <c r="B104" s="1">
        <v>45732.404809618056</v>
      </c>
      <c r="C104" s="1">
        <v>45738.404809618056</v>
      </c>
      <c r="D104" t="s">
        <v>28</v>
      </c>
      <c r="E104" t="s">
        <v>15</v>
      </c>
      <c r="F104" t="s">
        <v>16</v>
      </c>
      <c r="G104" t="s">
        <v>24</v>
      </c>
      <c r="H104" t="s">
        <v>44</v>
      </c>
      <c r="I104" t="s">
        <v>60</v>
      </c>
      <c r="J104">
        <v>3158.88</v>
      </c>
      <c r="K104">
        <v>7</v>
      </c>
      <c r="L104">
        <v>0.3</v>
      </c>
      <c r="M104">
        <v>174.73</v>
      </c>
    </row>
    <row r="105" spans="1:13">
      <c r="A105" t="s">
        <v>154</v>
      </c>
      <c r="B105" s="1">
        <v>45733.134268541668</v>
      </c>
      <c r="C105" s="1">
        <v>45736.134268541668</v>
      </c>
      <c r="D105" t="s">
        <v>52</v>
      </c>
      <c r="E105" t="s">
        <v>42</v>
      </c>
      <c r="F105" t="s">
        <v>23</v>
      </c>
      <c r="G105" t="s">
        <v>24</v>
      </c>
      <c r="H105" t="s">
        <v>53</v>
      </c>
      <c r="I105" t="s">
        <v>31</v>
      </c>
      <c r="J105">
        <v>1343.99</v>
      </c>
      <c r="K105">
        <v>8</v>
      </c>
      <c r="L105">
        <v>0</v>
      </c>
      <c r="M105">
        <v>131.41999999999999</v>
      </c>
    </row>
    <row r="106" spans="1:13">
      <c r="A106" t="s">
        <v>155</v>
      </c>
      <c r="B106" s="1">
        <v>45733.863727453703</v>
      </c>
      <c r="C106" s="1">
        <v>45739.863727453703</v>
      </c>
      <c r="D106" t="s">
        <v>28</v>
      </c>
      <c r="E106" t="s">
        <v>22</v>
      </c>
      <c r="F106" t="s">
        <v>16</v>
      </c>
      <c r="G106" t="s">
        <v>29</v>
      </c>
      <c r="H106" t="s">
        <v>30</v>
      </c>
      <c r="I106" t="s">
        <v>112</v>
      </c>
      <c r="J106">
        <v>89.16</v>
      </c>
      <c r="K106">
        <v>2</v>
      </c>
      <c r="L106">
        <v>0.05</v>
      </c>
      <c r="M106">
        <v>12.26</v>
      </c>
    </row>
    <row r="107" spans="1:13">
      <c r="A107" t="s">
        <v>156</v>
      </c>
      <c r="B107" s="1">
        <v>45734.593186377315</v>
      </c>
      <c r="C107" s="1">
        <v>45736.593186377315</v>
      </c>
      <c r="D107" t="s">
        <v>21</v>
      </c>
      <c r="E107" t="s">
        <v>15</v>
      </c>
      <c r="F107" t="s">
        <v>23</v>
      </c>
      <c r="G107" t="s">
        <v>29</v>
      </c>
      <c r="H107" t="s">
        <v>36</v>
      </c>
      <c r="I107" t="s">
        <v>55</v>
      </c>
      <c r="J107">
        <v>600.52</v>
      </c>
      <c r="K107">
        <v>4</v>
      </c>
      <c r="L107">
        <v>0</v>
      </c>
      <c r="M107">
        <v>138.30000000000001</v>
      </c>
    </row>
    <row r="108" spans="1:13">
      <c r="A108" t="s">
        <v>157</v>
      </c>
      <c r="B108" s="1">
        <v>45735.32264528935</v>
      </c>
      <c r="C108" s="1">
        <v>45736.32264528935</v>
      </c>
      <c r="D108" t="s">
        <v>63</v>
      </c>
      <c r="E108" t="s">
        <v>15</v>
      </c>
      <c r="F108" t="s">
        <v>23</v>
      </c>
      <c r="G108" t="s">
        <v>35</v>
      </c>
      <c r="H108" t="s">
        <v>44</v>
      </c>
      <c r="I108" t="s">
        <v>55</v>
      </c>
      <c r="J108">
        <v>1022.33</v>
      </c>
      <c r="K108">
        <v>7</v>
      </c>
      <c r="L108">
        <v>0</v>
      </c>
      <c r="M108">
        <v>182.59</v>
      </c>
    </row>
    <row r="109" spans="1:13">
      <c r="A109" t="s">
        <v>158</v>
      </c>
      <c r="B109" s="1">
        <v>45736.052104212962</v>
      </c>
      <c r="C109" s="1">
        <v>45737.052104212962</v>
      </c>
      <c r="D109" t="s">
        <v>28</v>
      </c>
      <c r="E109" t="s">
        <v>15</v>
      </c>
      <c r="F109" t="s">
        <v>16</v>
      </c>
      <c r="G109" t="s">
        <v>17</v>
      </c>
      <c r="H109" t="s">
        <v>36</v>
      </c>
      <c r="I109" t="s">
        <v>19</v>
      </c>
      <c r="J109">
        <v>1526.38</v>
      </c>
      <c r="K109">
        <v>8</v>
      </c>
      <c r="L109">
        <v>0</v>
      </c>
      <c r="M109">
        <v>140.63999999999999</v>
      </c>
    </row>
    <row r="110" spans="1:13">
      <c r="A110" t="s">
        <v>159</v>
      </c>
      <c r="B110" s="1">
        <v>45736.781563124998</v>
      </c>
      <c r="C110" s="1">
        <v>45738.781563124998</v>
      </c>
      <c r="D110" t="s">
        <v>21</v>
      </c>
      <c r="E110" t="s">
        <v>15</v>
      </c>
      <c r="F110" t="s">
        <v>34</v>
      </c>
      <c r="G110" t="s">
        <v>24</v>
      </c>
      <c r="H110" t="s">
        <v>39</v>
      </c>
      <c r="I110" t="s">
        <v>37</v>
      </c>
      <c r="J110">
        <v>78.55</v>
      </c>
      <c r="K110">
        <v>8</v>
      </c>
      <c r="L110">
        <v>0.05</v>
      </c>
      <c r="M110">
        <v>6.24</v>
      </c>
    </row>
    <row r="111" spans="1:13">
      <c r="A111" t="s">
        <v>160</v>
      </c>
      <c r="B111" s="1">
        <v>45737.511022048609</v>
      </c>
      <c r="C111" s="1">
        <v>45742.511022048609</v>
      </c>
      <c r="D111" t="s">
        <v>28</v>
      </c>
      <c r="E111" t="s">
        <v>15</v>
      </c>
      <c r="F111" t="s">
        <v>34</v>
      </c>
      <c r="G111" t="s">
        <v>29</v>
      </c>
      <c r="H111" t="s">
        <v>39</v>
      </c>
      <c r="I111" t="s">
        <v>95</v>
      </c>
      <c r="J111">
        <v>21.26</v>
      </c>
      <c r="K111">
        <v>3</v>
      </c>
      <c r="L111">
        <v>0.1</v>
      </c>
      <c r="M111">
        <v>3.95</v>
      </c>
    </row>
    <row r="112" spans="1:13">
      <c r="A112" t="s">
        <v>161</v>
      </c>
      <c r="B112" s="1">
        <v>45738.240480960645</v>
      </c>
      <c r="C112" s="1">
        <v>45740.240480960645</v>
      </c>
      <c r="D112" t="s">
        <v>33</v>
      </c>
      <c r="E112" t="s">
        <v>15</v>
      </c>
      <c r="F112" t="s">
        <v>16</v>
      </c>
      <c r="G112" t="s">
        <v>17</v>
      </c>
      <c r="H112" t="s">
        <v>36</v>
      </c>
      <c r="I112" t="s">
        <v>47</v>
      </c>
      <c r="J112">
        <v>88.37</v>
      </c>
      <c r="K112">
        <v>4</v>
      </c>
      <c r="L112">
        <v>0.1</v>
      </c>
      <c r="M112">
        <v>10.99</v>
      </c>
    </row>
    <row r="113" spans="1:13">
      <c r="A113" t="s">
        <v>162</v>
      </c>
      <c r="B113" s="1">
        <v>45738.969939884257</v>
      </c>
      <c r="C113" s="1">
        <v>45739.969939884257</v>
      </c>
      <c r="D113" t="s">
        <v>21</v>
      </c>
      <c r="E113" t="s">
        <v>15</v>
      </c>
      <c r="F113" t="s">
        <v>34</v>
      </c>
      <c r="G113" t="s">
        <v>24</v>
      </c>
      <c r="H113" t="s">
        <v>30</v>
      </c>
      <c r="I113" t="s">
        <v>73</v>
      </c>
      <c r="J113">
        <v>23.7</v>
      </c>
      <c r="K113">
        <v>2</v>
      </c>
      <c r="L113">
        <v>0.1</v>
      </c>
      <c r="M113">
        <v>2.6</v>
      </c>
    </row>
    <row r="114" spans="1:13">
      <c r="A114" t="s">
        <v>163</v>
      </c>
      <c r="B114" s="1">
        <v>45739.6993987963</v>
      </c>
      <c r="C114" s="1">
        <v>45745.6993987963</v>
      </c>
      <c r="D114" t="s">
        <v>28</v>
      </c>
      <c r="E114" t="s">
        <v>42</v>
      </c>
      <c r="F114" t="s">
        <v>34</v>
      </c>
      <c r="G114" t="s">
        <v>29</v>
      </c>
      <c r="H114" t="s">
        <v>18</v>
      </c>
      <c r="I114" t="s">
        <v>87</v>
      </c>
      <c r="J114">
        <v>112.05</v>
      </c>
      <c r="K114">
        <v>5</v>
      </c>
      <c r="L114">
        <v>0.05</v>
      </c>
      <c r="M114">
        <v>17.77</v>
      </c>
    </row>
    <row r="115" spans="1:13">
      <c r="A115" t="s">
        <v>164</v>
      </c>
      <c r="B115" s="1">
        <v>45740.428857719904</v>
      </c>
      <c r="C115" s="1">
        <v>45741.428857719904</v>
      </c>
      <c r="D115" t="s">
        <v>52</v>
      </c>
      <c r="E115" t="s">
        <v>42</v>
      </c>
      <c r="F115" t="s">
        <v>16</v>
      </c>
      <c r="G115" t="s">
        <v>24</v>
      </c>
      <c r="H115" t="s">
        <v>18</v>
      </c>
      <c r="I115" t="s">
        <v>19</v>
      </c>
      <c r="J115">
        <v>461.72</v>
      </c>
      <c r="K115">
        <v>3</v>
      </c>
      <c r="L115">
        <v>0.15</v>
      </c>
      <c r="M115">
        <v>71.2</v>
      </c>
    </row>
    <row r="116" spans="1:13">
      <c r="A116" t="s">
        <v>165</v>
      </c>
      <c r="B116" s="1">
        <v>45741.158316631947</v>
      </c>
      <c r="C116" s="1">
        <v>45742.158316631947</v>
      </c>
      <c r="D116" t="s">
        <v>52</v>
      </c>
      <c r="E116" t="s">
        <v>15</v>
      </c>
      <c r="F116" t="s">
        <v>34</v>
      </c>
      <c r="G116" t="s">
        <v>17</v>
      </c>
      <c r="H116" t="s">
        <v>36</v>
      </c>
      <c r="I116" t="s">
        <v>87</v>
      </c>
      <c r="J116">
        <v>90.22</v>
      </c>
      <c r="K116">
        <v>4</v>
      </c>
      <c r="L116">
        <v>0</v>
      </c>
      <c r="M116">
        <v>7.64</v>
      </c>
    </row>
    <row r="117" spans="1:13">
      <c r="A117" t="s">
        <v>166</v>
      </c>
      <c r="B117" s="1">
        <v>45741.887775555559</v>
      </c>
      <c r="C117" s="1">
        <v>45745.887775555559</v>
      </c>
      <c r="D117" t="s">
        <v>52</v>
      </c>
      <c r="E117" t="s">
        <v>42</v>
      </c>
      <c r="F117" t="s">
        <v>23</v>
      </c>
      <c r="G117" t="s">
        <v>29</v>
      </c>
      <c r="H117" t="s">
        <v>44</v>
      </c>
      <c r="I117" t="s">
        <v>31</v>
      </c>
      <c r="J117">
        <v>866.31</v>
      </c>
      <c r="K117">
        <v>5</v>
      </c>
      <c r="L117">
        <v>0</v>
      </c>
      <c r="M117">
        <v>117.28</v>
      </c>
    </row>
    <row r="118" spans="1:13">
      <c r="A118" t="s">
        <v>167</v>
      </c>
      <c r="B118" s="1">
        <v>45742.617234467594</v>
      </c>
      <c r="C118" s="1">
        <v>45747.617234467594</v>
      </c>
      <c r="D118" t="s">
        <v>14</v>
      </c>
      <c r="E118" t="s">
        <v>15</v>
      </c>
      <c r="F118" t="s">
        <v>16</v>
      </c>
      <c r="G118" t="s">
        <v>17</v>
      </c>
      <c r="H118" t="s">
        <v>25</v>
      </c>
      <c r="I118" t="s">
        <v>112</v>
      </c>
      <c r="J118">
        <v>45.93</v>
      </c>
      <c r="K118">
        <v>1</v>
      </c>
      <c r="L118">
        <v>0</v>
      </c>
      <c r="M118">
        <v>4.78</v>
      </c>
    </row>
    <row r="119" spans="1:13">
      <c r="A119" t="s">
        <v>168</v>
      </c>
      <c r="B119" s="1">
        <v>45743.346693391206</v>
      </c>
      <c r="C119" s="1">
        <v>45748.346693391206</v>
      </c>
      <c r="D119" t="s">
        <v>63</v>
      </c>
      <c r="E119" t="s">
        <v>42</v>
      </c>
      <c r="F119" t="s">
        <v>34</v>
      </c>
      <c r="G119" t="s">
        <v>17</v>
      </c>
      <c r="H119" t="s">
        <v>39</v>
      </c>
      <c r="I119" t="s">
        <v>37</v>
      </c>
      <c r="J119">
        <v>55.77</v>
      </c>
      <c r="K119">
        <v>6</v>
      </c>
      <c r="L119">
        <v>0.1</v>
      </c>
      <c r="M119">
        <v>10.8</v>
      </c>
    </row>
    <row r="120" spans="1:13">
      <c r="A120" t="s">
        <v>169</v>
      </c>
      <c r="B120" s="1">
        <v>45744.076152303242</v>
      </c>
      <c r="C120" s="1">
        <v>45746.076152303242</v>
      </c>
      <c r="D120" t="s">
        <v>63</v>
      </c>
      <c r="E120" t="s">
        <v>42</v>
      </c>
      <c r="F120" t="s">
        <v>16</v>
      </c>
      <c r="G120" t="s">
        <v>29</v>
      </c>
      <c r="H120" t="s">
        <v>18</v>
      </c>
      <c r="I120" t="s">
        <v>112</v>
      </c>
      <c r="J120">
        <v>179.87</v>
      </c>
      <c r="K120">
        <v>4</v>
      </c>
      <c r="L120">
        <v>0</v>
      </c>
      <c r="M120">
        <v>30.12</v>
      </c>
    </row>
    <row r="121" spans="1:13">
      <c r="A121" t="s">
        <v>170</v>
      </c>
      <c r="B121" s="1">
        <v>45744.805611226853</v>
      </c>
      <c r="C121" s="1">
        <v>45747.805611226853</v>
      </c>
      <c r="D121" t="s">
        <v>14</v>
      </c>
      <c r="E121" t="s">
        <v>42</v>
      </c>
      <c r="F121" t="s">
        <v>16</v>
      </c>
      <c r="G121" t="s">
        <v>24</v>
      </c>
      <c r="H121" t="s">
        <v>25</v>
      </c>
      <c r="I121" t="s">
        <v>60</v>
      </c>
      <c r="J121">
        <v>607.04</v>
      </c>
      <c r="K121">
        <v>1</v>
      </c>
      <c r="L121">
        <v>0.1</v>
      </c>
      <c r="M121">
        <v>62.69</v>
      </c>
    </row>
    <row r="122" spans="1:13">
      <c r="A122" t="s">
        <v>171</v>
      </c>
      <c r="B122" s="1">
        <v>45745.535070138889</v>
      </c>
      <c r="C122" s="1">
        <v>45750.535070138889</v>
      </c>
      <c r="D122" t="s">
        <v>63</v>
      </c>
      <c r="E122" t="s">
        <v>42</v>
      </c>
      <c r="F122" t="s">
        <v>34</v>
      </c>
      <c r="G122" t="s">
        <v>24</v>
      </c>
      <c r="H122" t="s">
        <v>39</v>
      </c>
      <c r="I122" t="s">
        <v>87</v>
      </c>
      <c r="J122">
        <v>87.24</v>
      </c>
      <c r="K122">
        <v>4</v>
      </c>
      <c r="L122">
        <v>0.05</v>
      </c>
      <c r="M122">
        <v>18.11</v>
      </c>
    </row>
    <row r="123" spans="1:13">
      <c r="A123" t="s">
        <v>172</v>
      </c>
      <c r="B123" s="1">
        <v>45746.264529062501</v>
      </c>
      <c r="C123" s="1">
        <v>45747.264529062501</v>
      </c>
      <c r="D123" t="s">
        <v>33</v>
      </c>
      <c r="E123" t="s">
        <v>42</v>
      </c>
      <c r="F123" t="s">
        <v>23</v>
      </c>
      <c r="G123" t="s">
        <v>17</v>
      </c>
      <c r="H123" t="s">
        <v>30</v>
      </c>
      <c r="I123" t="s">
        <v>26</v>
      </c>
      <c r="J123">
        <v>2208.52</v>
      </c>
      <c r="K123">
        <v>6</v>
      </c>
      <c r="L123">
        <v>0.3</v>
      </c>
      <c r="M123">
        <v>154.62</v>
      </c>
    </row>
    <row r="124" spans="1:13">
      <c r="A124" t="s">
        <v>173</v>
      </c>
      <c r="B124" s="1">
        <v>45746.993987974536</v>
      </c>
      <c r="C124" s="1">
        <v>45748.993987974536</v>
      </c>
      <c r="D124" t="s">
        <v>21</v>
      </c>
      <c r="E124" t="s">
        <v>15</v>
      </c>
      <c r="F124" t="s">
        <v>34</v>
      </c>
      <c r="G124" t="s">
        <v>24</v>
      </c>
      <c r="H124" t="s">
        <v>39</v>
      </c>
      <c r="I124" t="s">
        <v>87</v>
      </c>
      <c r="J124">
        <v>23.37</v>
      </c>
      <c r="K124">
        <v>1</v>
      </c>
      <c r="L124">
        <v>0.1</v>
      </c>
      <c r="M124">
        <v>0.8</v>
      </c>
    </row>
    <row r="125" spans="1:13">
      <c r="A125" t="s">
        <v>174</v>
      </c>
      <c r="B125" s="1">
        <v>45747.723446898148</v>
      </c>
      <c r="C125" s="1">
        <v>45750.723446898148</v>
      </c>
      <c r="D125" t="s">
        <v>21</v>
      </c>
      <c r="E125" t="s">
        <v>15</v>
      </c>
      <c r="F125" t="s">
        <v>23</v>
      </c>
      <c r="G125" t="s">
        <v>35</v>
      </c>
      <c r="H125" t="s">
        <v>18</v>
      </c>
      <c r="I125" t="s">
        <v>45</v>
      </c>
      <c r="J125">
        <v>526.74</v>
      </c>
      <c r="K125">
        <v>2</v>
      </c>
      <c r="L125">
        <v>0.05</v>
      </c>
      <c r="M125">
        <v>91.7</v>
      </c>
    </row>
    <row r="126" spans="1:13">
      <c r="A126" t="s">
        <v>175</v>
      </c>
      <c r="B126" s="1">
        <v>45748.452905810183</v>
      </c>
      <c r="C126" s="1">
        <v>45749.452905810183</v>
      </c>
      <c r="D126" t="s">
        <v>52</v>
      </c>
      <c r="E126" t="s">
        <v>15</v>
      </c>
      <c r="F126" t="s">
        <v>23</v>
      </c>
      <c r="G126" t="s">
        <v>17</v>
      </c>
      <c r="H126" t="s">
        <v>49</v>
      </c>
      <c r="I126" t="s">
        <v>45</v>
      </c>
      <c r="J126">
        <v>925.27</v>
      </c>
      <c r="K126">
        <v>4</v>
      </c>
      <c r="L126">
        <v>0.2</v>
      </c>
      <c r="M126">
        <v>128.80000000000001</v>
      </c>
    </row>
    <row r="127" spans="1:13">
      <c r="A127" t="s">
        <v>176</v>
      </c>
      <c r="B127" s="1">
        <v>45749.182364733795</v>
      </c>
      <c r="C127" s="1">
        <v>45753.182364733795</v>
      </c>
      <c r="D127" t="s">
        <v>63</v>
      </c>
      <c r="E127" t="s">
        <v>22</v>
      </c>
      <c r="F127" t="s">
        <v>23</v>
      </c>
      <c r="G127" t="s">
        <v>29</v>
      </c>
      <c r="H127" t="s">
        <v>53</v>
      </c>
      <c r="I127" t="s">
        <v>31</v>
      </c>
      <c r="J127">
        <v>257.55</v>
      </c>
      <c r="K127">
        <v>2</v>
      </c>
      <c r="L127">
        <v>0.2</v>
      </c>
      <c r="M127">
        <v>17.87</v>
      </c>
    </row>
    <row r="128" spans="1:13">
      <c r="A128" t="s">
        <v>177</v>
      </c>
      <c r="B128" s="1">
        <v>45749.911823645831</v>
      </c>
      <c r="C128" s="1">
        <v>45752.911823645831</v>
      </c>
      <c r="D128" t="s">
        <v>21</v>
      </c>
      <c r="E128" t="s">
        <v>42</v>
      </c>
      <c r="F128" t="s">
        <v>34</v>
      </c>
      <c r="G128" t="s">
        <v>29</v>
      </c>
      <c r="H128" t="s">
        <v>49</v>
      </c>
      <c r="I128" t="s">
        <v>73</v>
      </c>
      <c r="J128">
        <v>92.91</v>
      </c>
      <c r="K128">
        <v>8</v>
      </c>
      <c r="L128">
        <v>0.1</v>
      </c>
      <c r="M128">
        <v>9.31</v>
      </c>
    </row>
    <row r="129" spans="1:13">
      <c r="A129" t="s">
        <v>178</v>
      </c>
      <c r="B129" s="1">
        <v>45750.641282569442</v>
      </c>
      <c r="C129" s="1">
        <v>45754.641282569442</v>
      </c>
      <c r="D129" t="s">
        <v>33</v>
      </c>
      <c r="E129" t="s">
        <v>42</v>
      </c>
      <c r="F129" t="s">
        <v>34</v>
      </c>
      <c r="G129" t="s">
        <v>24</v>
      </c>
      <c r="H129" t="s">
        <v>18</v>
      </c>
      <c r="I129" t="s">
        <v>95</v>
      </c>
      <c r="J129">
        <v>13.56</v>
      </c>
      <c r="K129">
        <v>2</v>
      </c>
      <c r="L129">
        <v>0.2</v>
      </c>
      <c r="M129">
        <v>2.2999999999999998</v>
      </c>
    </row>
    <row r="130" spans="1:13">
      <c r="A130" t="s">
        <v>179</v>
      </c>
      <c r="B130" s="1">
        <v>45751.370741481478</v>
      </c>
      <c r="C130" s="1">
        <v>45757.370741481478</v>
      </c>
      <c r="D130" t="s">
        <v>63</v>
      </c>
      <c r="E130" t="s">
        <v>15</v>
      </c>
      <c r="F130" t="s">
        <v>16</v>
      </c>
      <c r="G130" t="s">
        <v>35</v>
      </c>
      <c r="H130" t="s">
        <v>25</v>
      </c>
      <c r="I130" t="s">
        <v>47</v>
      </c>
      <c r="J130">
        <v>21.47</v>
      </c>
      <c r="K130">
        <v>1</v>
      </c>
      <c r="L130">
        <v>0.1</v>
      </c>
      <c r="M130">
        <v>2.08</v>
      </c>
    </row>
    <row r="131" spans="1:13">
      <c r="A131" t="s">
        <v>180</v>
      </c>
      <c r="B131" s="1">
        <v>45752.10020040509</v>
      </c>
      <c r="C131" s="1">
        <v>45754.10020040509</v>
      </c>
      <c r="D131" t="s">
        <v>52</v>
      </c>
      <c r="E131" t="s">
        <v>22</v>
      </c>
      <c r="F131" t="s">
        <v>34</v>
      </c>
      <c r="G131" t="s">
        <v>24</v>
      </c>
      <c r="H131" t="s">
        <v>44</v>
      </c>
      <c r="I131" t="s">
        <v>73</v>
      </c>
      <c r="J131">
        <v>31.08</v>
      </c>
      <c r="K131">
        <v>3</v>
      </c>
      <c r="L131">
        <v>0.1</v>
      </c>
      <c r="M131">
        <v>5.55</v>
      </c>
    </row>
    <row r="132" spans="1:13">
      <c r="A132" t="s">
        <v>181</v>
      </c>
      <c r="B132" s="1">
        <v>45752.829659317133</v>
      </c>
      <c r="C132" s="1">
        <v>45754.829659317133</v>
      </c>
      <c r="D132" t="s">
        <v>33</v>
      </c>
      <c r="E132" t="s">
        <v>22</v>
      </c>
      <c r="F132" t="s">
        <v>16</v>
      </c>
      <c r="G132" t="s">
        <v>24</v>
      </c>
      <c r="H132" t="s">
        <v>49</v>
      </c>
      <c r="I132" t="s">
        <v>60</v>
      </c>
      <c r="J132">
        <v>4477.8100000000004</v>
      </c>
      <c r="K132">
        <v>7</v>
      </c>
      <c r="L132">
        <v>0.05</v>
      </c>
      <c r="M132">
        <v>366.22</v>
      </c>
    </row>
    <row r="133" spans="1:13">
      <c r="A133" t="s">
        <v>182</v>
      </c>
      <c r="B133" s="1">
        <v>45753.559118240744</v>
      </c>
      <c r="C133" s="1">
        <v>45755.559118240744</v>
      </c>
      <c r="D133" t="s">
        <v>63</v>
      </c>
      <c r="E133" t="s">
        <v>15</v>
      </c>
      <c r="F133" t="s">
        <v>23</v>
      </c>
      <c r="G133" t="s">
        <v>17</v>
      </c>
      <c r="H133" t="s">
        <v>25</v>
      </c>
      <c r="I133" t="s">
        <v>55</v>
      </c>
      <c r="J133">
        <v>914.06</v>
      </c>
      <c r="K133">
        <v>8</v>
      </c>
      <c r="L133">
        <v>0.2</v>
      </c>
      <c r="M133">
        <v>139.55000000000001</v>
      </c>
    </row>
    <row r="134" spans="1:13">
      <c r="A134" t="s">
        <v>183</v>
      </c>
      <c r="B134" s="1">
        <v>45754.28857715278</v>
      </c>
      <c r="C134" s="1">
        <v>45756.28857715278</v>
      </c>
      <c r="D134" t="s">
        <v>14</v>
      </c>
      <c r="E134" t="s">
        <v>42</v>
      </c>
      <c r="F134" t="s">
        <v>16</v>
      </c>
      <c r="G134" t="s">
        <v>24</v>
      </c>
      <c r="H134" t="s">
        <v>36</v>
      </c>
      <c r="I134" t="s">
        <v>47</v>
      </c>
      <c r="J134">
        <v>114.92</v>
      </c>
      <c r="K134">
        <v>5</v>
      </c>
      <c r="L134">
        <v>0.1</v>
      </c>
      <c r="M134">
        <v>13.48</v>
      </c>
    </row>
    <row r="135" spans="1:13">
      <c r="A135" t="s">
        <v>184</v>
      </c>
      <c r="B135" s="1">
        <v>45755.018036076392</v>
      </c>
      <c r="C135" s="1">
        <v>45756.018036076392</v>
      </c>
      <c r="D135" t="s">
        <v>63</v>
      </c>
      <c r="E135" t="s">
        <v>15</v>
      </c>
      <c r="F135" t="s">
        <v>16</v>
      </c>
      <c r="G135" t="s">
        <v>17</v>
      </c>
      <c r="H135" t="s">
        <v>36</v>
      </c>
      <c r="I135" t="s">
        <v>64</v>
      </c>
      <c r="J135">
        <v>594.75</v>
      </c>
      <c r="K135">
        <v>3</v>
      </c>
      <c r="L135">
        <v>0.15</v>
      </c>
      <c r="M135">
        <v>71.88</v>
      </c>
    </row>
    <row r="136" spans="1:13">
      <c r="A136" t="s">
        <v>185</v>
      </c>
      <c r="B136" s="1">
        <v>45755.747494988427</v>
      </c>
      <c r="C136" s="1">
        <v>45758.747494988427</v>
      </c>
      <c r="D136" t="s">
        <v>14</v>
      </c>
      <c r="E136" t="s">
        <v>42</v>
      </c>
      <c r="F136" t="s">
        <v>23</v>
      </c>
      <c r="G136" t="s">
        <v>24</v>
      </c>
      <c r="H136" t="s">
        <v>44</v>
      </c>
      <c r="I136" t="s">
        <v>55</v>
      </c>
      <c r="J136">
        <v>251.56</v>
      </c>
      <c r="K136">
        <v>2</v>
      </c>
      <c r="L136">
        <v>0.1</v>
      </c>
      <c r="M136">
        <v>51.4</v>
      </c>
    </row>
    <row r="137" spans="1:13">
      <c r="A137" t="s">
        <v>186</v>
      </c>
      <c r="B137" s="1">
        <v>45756.476953912039</v>
      </c>
      <c r="C137" s="1">
        <v>45759.476953912039</v>
      </c>
      <c r="D137" t="s">
        <v>14</v>
      </c>
      <c r="E137" t="s">
        <v>22</v>
      </c>
      <c r="F137" t="s">
        <v>34</v>
      </c>
      <c r="G137" t="s">
        <v>24</v>
      </c>
      <c r="H137" t="s">
        <v>49</v>
      </c>
      <c r="I137" t="s">
        <v>73</v>
      </c>
      <c r="J137">
        <v>10.29</v>
      </c>
      <c r="K137">
        <v>1</v>
      </c>
      <c r="L137">
        <v>0.2</v>
      </c>
      <c r="M137">
        <v>0.74</v>
      </c>
    </row>
    <row r="138" spans="1:13">
      <c r="A138" t="s">
        <v>187</v>
      </c>
      <c r="B138" s="1">
        <v>45757.206412824075</v>
      </c>
      <c r="C138" s="1">
        <v>45760.206412824075</v>
      </c>
      <c r="D138" t="s">
        <v>21</v>
      </c>
      <c r="E138" t="s">
        <v>15</v>
      </c>
      <c r="F138" t="s">
        <v>34</v>
      </c>
      <c r="G138" t="s">
        <v>29</v>
      </c>
      <c r="H138" t="s">
        <v>44</v>
      </c>
      <c r="I138" t="s">
        <v>40</v>
      </c>
      <c r="J138">
        <v>26.29</v>
      </c>
      <c r="K138">
        <v>2</v>
      </c>
      <c r="L138">
        <v>0.15</v>
      </c>
      <c r="M138">
        <v>2.8</v>
      </c>
    </row>
    <row r="139" spans="1:13">
      <c r="A139" t="s">
        <v>188</v>
      </c>
      <c r="B139" s="1">
        <v>45757.935871747686</v>
      </c>
      <c r="C139" s="1">
        <v>45762.935871747686</v>
      </c>
      <c r="D139" t="s">
        <v>33</v>
      </c>
      <c r="E139" t="s">
        <v>22</v>
      </c>
      <c r="F139" t="s">
        <v>34</v>
      </c>
      <c r="G139" t="s">
        <v>29</v>
      </c>
      <c r="H139" t="s">
        <v>44</v>
      </c>
      <c r="I139" t="s">
        <v>87</v>
      </c>
      <c r="J139">
        <v>47.2</v>
      </c>
      <c r="K139">
        <v>2</v>
      </c>
      <c r="L139">
        <v>0</v>
      </c>
      <c r="M139">
        <v>8.64</v>
      </c>
    </row>
    <row r="140" spans="1:13">
      <c r="A140" t="s">
        <v>189</v>
      </c>
      <c r="B140" s="1">
        <v>45758.665330659722</v>
      </c>
      <c r="C140" s="1">
        <v>45761.665330659722</v>
      </c>
      <c r="D140" t="s">
        <v>33</v>
      </c>
      <c r="E140" t="s">
        <v>22</v>
      </c>
      <c r="F140" t="s">
        <v>34</v>
      </c>
      <c r="G140" t="s">
        <v>24</v>
      </c>
      <c r="H140" t="s">
        <v>30</v>
      </c>
      <c r="I140" t="s">
        <v>95</v>
      </c>
      <c r="J140">
        <v>19.78</v>
      </c>
      <c r="K140">
        <v>3</v>
      </c>
      <c r="L140">
        <v>0.15</v>
      </c>
      <c r="M140">
        <v>2.56</v>
      </c>
    </row>
    <row r="141" spans="1:13">
      <c r="A141" t="s">
        <v>190</v>
      </c>
      <c r="B141" s="1">
        <v>45759.394789583333</v>
      </c>
      <c r="C141" s="1">
        <v>45764.394789583333</v>
      </c>
      <c r="D141" t="s">
        <v>14</v>
      </c>
      <c r="E141" t="s">
        <v>22</v>
      </c>
      <c r="F141" t="s">
        <v>23</v>
      </c>
      <c r="G141" t="s">
        <v>24</v>
      </c>
      <c r="H141" t="s">
        <v>18</v>
      </c>
      <c r="I141" t="s">
        <v>26</v>
      </c>
      <c r="J141">
        <v>3539.58</v>
      </c>
      <c r="K141">
        <v>8</v>
      </c>
      <c r="L141">
        <v>0.05</v>
      </c>
      <c r="M141">
        <v>252.63</v>
      </c>
    </row>
    <row r="142" spans="1:13">
      <c r="A142" t="s">
        <v>191</v>
      </c>
      <c r="B142" s="1">
        <v>45760.124248495369</v>
      </c>
      <c r="C142" s="1">
        <v>45761.124248495369</v>
      </c>
      <c r="D142" t="s">
        <v>14</v>
      </c>
      <c r="E142" t="s">
        <v>15</v>
      </c>
      <c r="F142" t="s">
        <v>34</v>
      </c>
      <c r="G142" t="s">
        <v>35</v>
      </c>
      <c r="H142" t="s">
        <v>36</v>
      </c>
      <c r="I142" t="s">
        <v>37</v>
      </c>
      <c r="J142">
        <v>64.58</v>
      </c>
      <c r="K142">
        <v>6</v>
      </c>
      <c r="L142">
        <v>0</v>
      </c>
      <c r="M142">
        <v>15.05</v>
      </c>
    </row>
    <row r="143" spans="1:13">
      <c r="A143" t="s">
        <v>192</v>
      </c>
      <c r="B143" s="1">
        <v>45760.853707418981</v>
      </c>
      <c r="C143" s="1">
        <v>45766.853707418981</v>
      </c>
      <c r="D143" t="s">
        <v>33</v>
      </c>
      <c r="E143" t="s">
        <v>22</v>
      </c>
      <c r="F143" t="s">
        <v>16</v>
      </c>
      <c r="G143" t="s">
        <v>17</v>
      </c>
      <c r="H143" t="s">
        <v>39</v>
      </c>
      <c r="I143" t="s">
        <v>112</v>
      </c>
      <c r="J143">
        <v>178.27</v>
      </c>
      <c r="K143">
        <v>5</v>
      </c>
      <c r="L143">
        <v>0.15</v>
      </c>
      <c r="M143">
        <v>27.58</v>
      </c>
    </row>
    <row r="144" spans="1:13">
      <c r="A144" t="s">
        <v>193</v>
      </c>
      <c r="B144" s="1">
        <v>45761.583166331016</v>
      </c>
      <c r="C144" s="1">
        <v>45763.583166331016</v>
      </c>
      <c r="D144" t="s">
        <v>28</v>
      </c>
      <c r="E144" t="s">
        <v>22</v>
      </c>
      <c r="F144" t="s">
        <v>16</v>
      </c>
      <c r="G144" t="s">
        <v>35</v>
      </c>
      <c r="H144" t="s">
        <v>44</v>
      </c>
      <c r="I144" t="s">
        <v>19</v>
      </c>
      <c r="J144">
        <v>1038.28</v>
      </c>
      <c r="K144">
        <v>6</v>
      </c>
      <c r="L144">
        <v>0.05</v>
      </c>
      <c r="M144">
        <v>65.78</v>
      </c>
    </row>
    <row r="145" spans="1:13">
      <c r="A145" t="s">
        <v>194</v>
      </c>
      <c r="B145" s="1">
        <v>45762.312625254628</v>
      </c>
      <c r="C145" s="1">
        <v>45768.312625254628</v>
      </c>
      <c r="D145" t="s">
        <v>33</v>
      </c>
      <c r="E145" t="s">
        <v>22</v>
      </c>
      <c r="F145" t="s">
        <v>16</v>
      </c>
      <c r="G145" t="s">
        <v>29</v>
      </c>
      <c r="H145" t="s">
        <v>25</v>
      </c>
      <c r="I145" t="s">
        <v>64</v>
      </c>
      <c r="J145">
        <v>149.13</v>
      </c>
      <c r="K145">
        <v>1</v>
      </c>
      <c r="L145">
        <v>0.3</v>
      </c>
      <c r="M145">
        <v>10.27</v>
      </c>
    </row>
    <row r="146" spans="1:13">
      <c r="A146" t="s">
        <v>195</v>
      </c>
      <c r="B146" s="1">
        <v>45763.042084166664</v>
      </c>
      <c r="C146" s="1">
        <v>45764.042084166664</v>
      </c>
      <c r="D146" t="s">
        <v>21</v>
      </c>
      <c r="E146" t="s">
        <v>42</v>
      </c>
      <c r="F146" t="s">
        <v>16</v>
      </c>
      <c r="G146" t="s">
        <v>24</v>
      </c>
      <c r="H146" t="s">
        <v>30</v>
      </c>
      <c r="I146" t="s">
        <v>47</v>
      </c>
      <c r="J146">
        <v>37.33</v>
      </c>
      <c r="K146">
        <v>2</v>
      </c>
      <c r="L146">
        <v>0.2</v>
      </c>
      <c r="M146">
        <v>4.8099999999999996</v>
      </c>
    </row>
    <row r="147" spans="1:13">
      <c r="A147" t="s">
        <v>196</v>
      </c>
      <c r="B147" s="1">
        <v>45763.771543090275</v>
      </c>
      <c r="C147" s="1">
        <v>45767.771543090275</v>
      </c>
      <c r="D147" t="s">
        <v>14</v>
      </c>
      <c r="E147" t="s">
        <v>15</v>
      </c>
      <c r="F147" t="s">
        <v>23</v>
      </c>
      <c r="G147" t="s">
        <v>17</v>
      </c>
      <c r="H147" t="s">
        <v>18</v>
      </c>
      <c r="I147" t="s">
        <v>55</v>
      </c>
      <c r="J147">
        <v>245.21</v>
      </c>
      <c r="K147">
        <v>2</v>
      </c>
      <c r="L147">
        <v>0.2</v>
      </c>
      <c r="M147">
        <v>40.31</v>
      </c>
    </row>
    <row r="148" spans="1:13">
      <c r="A148" t="s">
        <v>197</v>
      </c>
      <c r="B148" s="1">
        <v>45764.501002002318</v>
      </c>
      <c r="C148" s="1">
        <v>45767.501002002318</v>
      </c>
      <c r="D148" t="s">
        <v>21</v>
      </c>
      <c r="E148" t="s">
        <v>15</v>
      </c>
      <c r="F148" t="s">
        <v>23</v>
      </c>
      <c r="G148" t="s">
        <v>29</v>
      </c>
      <c r="H148" t="s">
        <v>36</v>
      </c>
      <c r="I148" t="s">
        <v>31</v>
      </c>
      <c r="J148">
        <v>397.54</v>
      </c>
      <c r="K148">
        <v>3</v>
      </c>
      <c r="L148">
        <v>0.15</v>
      </c>
      <c r="M148">
        <v>61.57</v>
      </c>
    </row>
    <row r="149" spans="1:13">
      <c r="A149" t="s">
        <v>198</v>
      </c>
      <c r="B149" s="1">
        <v>45765.230460925923</v>
      </c>
      <c r="C149" s="1">
        <v>45770.230460925923</v>
      </c>
      <c r="D149" t="s">
        <v>33</v>
      </c>
      <c r="E149" t="s">
        <v>15</v>
      </c>
      <c r="F149" t="s">
        <v>16</v>
      </c>
      <c r="G149" t="s">
        <v>17</v>
      </c>
      <c r="H149" t="s">
        <v>44</v>
      </c>
      <c r="I149" t="s">
        <v>19</v>
      </c>
      <c r="J149">
        <v>641.70000000000005</v>
      </c>
      <c r="K149">
        <v>4</v>
      </c>
      <c r="L149">
        <v>0.1</v>
      </c>
      <c r="M149">
        <v>34.94</v>
      </c>
    </row>
    <row r="150" spans="1:13">
      <c r="A150" t="s">
        <v>199</v>
      </c>
      <c r="B150" s="1">
        <v>45765.959919837966</v>
      </c>
      <c r="C150" s="1">
        <v>45769.959919837966</v>
      </c>
      <c r="D150" t="s">
        <v>33</v>
      </c>
      <c r="E150" t="s">
        <v>22</v>
      </c>
      <c r="F150" t="s">
        <v>16</v>
      </c>
      <c r="G150" t="s">
        <v>35</v>
      </c>
      <c r="H150" t="s">
        <v>44</v>
      </c>
      <c r="I150" t="s">
        <v>47</v>
      </c>
      <c r="J150">
        <v>161.04</v>
      </c>
      <c r="K150">
        <v>6</v>
      </c>
      <c r="L150">
        <v>0</v>
      </c>
      <c r="M150">
        <v>37.58</v>
      </c>
    </row>
    <row r="151" spans="1:13">
      <c r="A151" t="s">
        <v>200</v>
      </c>
      <c r="B151" s="1">
        <v>45766.689378761577</v>
      </c>
      <c r="C151" s="1">
        <v>45768.689378761577</v>
      </c>
      <c r="D151" t="s">
        <v>28</v>
      </c>
      <c r="E151" t="s">
        <v>42</v>
      </c>
      <c r="F151" t="s">
        <v>34</v>
      </c>
      <c r="G151" t="s">
        <v>35</v>
      </c>
      <c r="H151" t="s">
        <v>36</v>
      </c>
      <c r="I151" t="s">
        <v>40</v>
      </c>
      <c r="J151">
        <v>75.62</v>
      </c>
      <c r="K151">
        <v>6</v>
      </c>
      <c r="L151">
        <v>0.15</v>
      </c>
      <c r="M151">
        <v>4.8099999999999996</v>
      </c>
    </row>
    <row r="152" spans="1:13">
      <c r="A152" t="s">
        <v>201</v>
      </c>
      <c r="B152" s="1">
        <v>45767.418837673613</v>
      </c>
      <c r="C152" s="1">
        <v>45770.418837673613</v>
      </c>
      <c r="D152" t="s">
        <v>28</v>
      </c>
      <c r="E152" t="s">
        <v>42</v>
      </c>
      <c r="F152" t="s">
        <v>16</v>
      </c>
      <c r="G152" t="s">
        <v>24</v>
      </c>
      <c r="H152" t="s">
        <v>53</v>
      </c>
      <c r="I152" t="s">
        <v>60</v>
      </c>
      <c r="J152">
        <v>559.42999999999995</v>
      </c>
      <c r="K152">
        <v>1</v>
      </c>
      <c r="L152">
        <v>0.15</v>
      </c>
      <c r="M152">
        <v>51.68</v>
      </c>
    </row>
    <row r="153" spans="1:13">
      <c r="A153" t="s">
        <v>202</v>
      </c>
      <c r="B153" s="1">
        <v>45768.148296597225</v>
      </c>
      <c r="C153" s="1">
        <v>45772.148296597225</v>
      </c>
      <c r="D153" t="s">
        <v>33</v>
      </c>
      <c r="E153" t="s">
        <v>42</v>
      </c>
      <c r="F153" t="s">
        <v>16</v>
      </c>
      <c r="G153" t="s">
        <v>35</v>
      </c>
      <c r="H153" t="s">
        <v>25</v>
      </c>
      <c r="I153" t="s">
        <v>112</v>
      </c>
      <c r="J153">
        <v>219.57</v>
      </c>
      <c r="K153">
        <v>6</v>
      </c>
      <c r="L153">
        <v>0.1</v>
      </c>
      <c r="M153">
        <v>36.979999999999997</v>
      </c>
    </row>
    <row r="154" spans="1:13">
      <c r="A154" t="s">
        <v>203</v>
      </c>
      <c r="B154" s="1">
        <v>45768.87775550926</v>
      </c>
      <c r="C154" s="1">
        <v>45772.87775550926</v>
      </c>
      <c r="D154" t="s">
        <v>63</v>
      </c>
      <c r="E154" t="s">
        <v>42</v>
      </c>
      <c r="F154" t="s">
        <v>34</v>
      </c>
      <c r="G154" t="s">
        <v>17</v>
      </c>
      <c r="H154" t="s">
        <v>53</v>
      </c>
      <c r="I154" t="s">
        <v>73</v>
      </c>
      <c r="J154">
        <v>66.599999999999994</v>
      </c>
      <c r="K154">
        <v>6</v>
      </c>
      <c r="L154">
        <v>0</v>
      </c>
      <c r="M154">
        <v>12.21</v>
      </c>
    </row>
    <row r="155" spans="1:13">
      <c r="A155" t="s">
        <v>204</v>
      </c>
      <c r="B155" s="1">
        <v>45769.607214432872</v>
      </c>
      <c r="C155" s="1">
        <v>45770.607214432872</v>
      </c>
      <c r="D155" t="s">
        <v>33</v>
      </c>
      <c r="E155" t="s">
        <v>42</v>
      </c>
      <c r="F155" t="s">
        <v>16</v>
      </c>
      <c r="G155" t="s">
        <v>29</v>
      </c>
      <c r="H155" t="s">
        <v>44</v>
      </c>
      <c r="I155" t="s">
        <v>19</v>
      </c>
      <c r="J155">
        <v>799.19</v>
      </c>
      <c r="K155">
        <v>5</v>
      </c>
      <c r="L155">
        <v>0.1</v>
      </c>
      <c r="M155">
        <v>161.58000000000001</v>
      </c>
    </row>
    <row r="156" spans="1:13">
      <c r="A156" t="s">
        <v>205</v>
      </c>
      <c r="B156" s="1">
        <v>45770.336673344907</v>
      </c>
      <c r="C156" s="1">
        <v>45774.336673344907</v>
      </c>
      <c r="D156" t="s">
        <v>52</v>
      </c>
      <c r="E156" t="s">
        <v>22</v>
      </c>
      <c r="F156" t="s">
        <v>23</v>
      </c>
      <c r="G156" t="s">
        <v>17</v>
      </c>
      <c r="H156" t="s">
        <v>49</v>
      </c>
      <c r="I156" t="s">
        <v>55</v>
      </c>
      <c r="J156">
        <v>859.15</v>
      </c>
      <c r="K156">
        <v>7</v>
      </c>
      <c r="L156">
        <v>0.15</v>
      </c>
      <c r="M156">
        <v>123.52</v>
      </c>
    </row>
    <row r="157" spans="1:13">
      <c r="A157" t="s">
        <v>206</v>
      </c>
      <c r="B157" s="1">
        <v>45771.066132268519</v>
      </c>
      <c r="C157" s="1">
        <v>45777.066132268519</v>
      </c>
      <c r="D157" t="s">
        <v>52</v>
      </c>
      <c r="E157" t="s">
        <v>22</v>
      </c>
      <c r="F157" t="s">
        <v>23</v>
      </c>
      <c r="G157" t="s">
        <v>29</v>
      </c>
      <c r="H157" t="s">
        <v>44</v>
      </c>
      <c r="I157" t="s">
        <v>26</v>
      </c>
      <c r="J157">
        <v>521.23</v>
      </c>
      <c r="K157">
        <v>1</v>
      </c>
      <c r="L157">
        <v>0.05</v>
      </c>
      <c r="M157">
        <v>35.520000000000003</v>
      </c>
    </row>
    <row r="158" spans="1:13">
      <c r="A158" t="s">
        <v>207</v>
      </c>
      <c r="B158" s="1">
        <v>45771.795591180555</v>
      </c>
      <c r="C158" s="1">
        <v>45772.795591180555</v>
      </c>
      <c r="D158" t="s">
        <v>33</v>
      </c>
      <c r="E158" t="s">
        <v>42</v>
      </c>
      <c r="F158" t="s">
        <v>16</v>
      </c>
      <c r="G158" t="s">
        <v>29</v>
      </c>
      <c r="H158" t="s">
        <v>39</v>
      </c>
      <c r="I158" t="s">
        <v>47</v>
      </c>
      <c r="J158">
        <v>20.65</v>
      </c>
      <c r="K158">
        <v>1</v>
      </c>
      <c r="L158">
        <v>0.1</v>
      </c>
      <c r="M158">
        <v>1.82</v>
      </c>
    </row>
    <row r="159" spans="1:13">
      <c r="A159" t="s">
        <v>208</v>
      </c>
      <c r="B159" s="1">
        <v>45772.525050104166</v>
      </c>
      <c r="C159" s="1">
        <v>45776.525050104166</v>
      </c>
      <c r="D159" t="s">
        <v>63</v>
      </c>
      <c r="E159" t="s">
        <v>15</v>
      </c>
      <c r="F159" t="s">
        <v>16</v>
      </c>
      <c r="G159" t="s">
        <v>24</v>
      </c>
      <c r="H159" t="s">
        <v>49</v>
      </c>
      <c r="I159" t="s">
        <v>64</v>
      </c>
      <c r="J159">
        <v>1194.1300000000001</v>
      </c>
      <c r="K159">
        <v>6</v>
      </c>
      <c r="L159">
        <v>0.15</v>
      </c>
      <c r="M159">
        <v>17.809999999999999</v>
      </c>
    </row>
    <row r="160" spans="1:13">
      <c r="A160" t="s">
        <v>209</v>
      </c>
      <c r="B160" s="1">
        <v>45773.254509016202</v>
      </c>
      <c r="C160" s="1">
        <v>45777.254509016202</v>
      </c>
      <c r="D160" t="s">
        <v>21</v>
      </c>
      <c r="E160" t="s">
        <v>42</v>
      </c>
      <c r="F160" t="s">
        <v>34</v>
      </c>
      <c r="G160" t="s">
        <v>17</v>
      </c>
      <c r="H160" t="s">
        <v>30</v>
      </c>
      <c r="I160" t="s">
        <v>73</v>
      </c>
      <c r="J160">
        <v>66.260000000000005</v>
      </c>
      <c r="K160">
        <v>6</v>
      </c>
      <c r="L160">
        <v>0.1</v>
      </c>
      <c r="M160">
        <v>5.22</v>
      </c>
    </row>
    <row r="161" spans="1:13">
      <c r="A161" t="s">
        <v>210</v>
      </c>
      <c r="B161" s="1">
        <v>45773.983967939814</v>
      </c>
      <c r="C161" s="1">
        <v>45779.983967939814</v>
      </c>
      <c r="D161" t="s">
        <v>21</v>
      </c>
      <c r="E161" t="s">
        <v>15</v>
      </c>
      <c r="F161" t="s">
        <v>23</v>
      </c>
      <c r="G161" t="s">
        <v>35</v>
      </c>
      <c r="H161" t="s">
        <v>39</v>
      </c>
      <c r="I161" t="s">
        <v>55</v>
      </c>
      <c r="J161">
        <v>891.35</v>
      </c>
      <c r="K161">
        <v>7</v>
      </c>
      <c r="L161">
        <v>0.1</v>
      </c>
      <c r="M161">
        <v>118.14</v>
      </c>
    </row>
    <row r="162" spans="1:13">
      <c r="A162" t="s">
        <v>211</v>
      </c>
      <c r="B162" s="1">
        <v>45774.713426851849</v>
      </c>
      <c r="C162" s="1">
        <v>45779.713426851849</v>
      </c>
      <c r="D162" t="s">
        <v>63</v>
      </c>
      <c r="E162" t="s">
        <v>22</v>
      </c>
      <c r="F162" t="s">
        <v>23</v>
      </c>
      <c r="G162" t="s">
        <v>35</v>
      </c>
      <c r="H162" t="s">
        <v>36</v>
      </c>
      <c r="I162" t="s">
        <v>45</v>
      </c>
      <c r="J162">
        <v>1641.73</v>
      </c>
      <c r="K162">
        <v>6</v>
      </c>
      <c r="L162">
        <v>0</v>
      </c>
      <c r="M162">
        <v>171.53</v>
      </c>
    </row>
    <row r="163" spans="1:13">
      <c r="A163" t="s">
        <v>212</v>
      </c>
      <c r="B163" s="1">
        <v>45775.442885775461</v>
      </c>
      <c r="C163" s="1">
        <v>45778.442885775461</v>
      </c>
      <c r="D163" t="s">
        <v>28</v>
      </c>
      <c r="E163" t="s">
        <v>42</v>
      </c>
      <c r="F163" t="s">
        <v>16</v>
      </c>
      <c r="G163" t="s">
        <v>29</v>
      </c>
      <c r="H163" t="s">
        <v>36</v>
      </c>
      <c r="I163" t="s">
        <v>47</v>
      </c>
      <c r="J163">
        <v>132.24</v>
      </c>
      <c r="K163">
        <v>5</v>
      </c>
      <c r="L163">
        <v>0</v>
      </c>
      <c r="M163">
        <v>23.61</v>
      </c>
    </row>
    <row r="164" spans="1:13">
      <c r="A164" t="s">
        <v>213</v>
      </c>
      <c r="B164" s="1">
        <v>45776.172344687497</v>
      </c>
      <c r="C164" s="1">
        <v>45779.172344687497</v>
      </c>
      <c r="D164" t="s">
        <v>14</v>
      </c>
      <c r="E164" t="s">
        <v>22</v>
      </c>
      <c r="F164" t="s">
        <v>34</v>
      </c>
      <c r="G164" t="s">
        <v>24</v>
      </c>
      <c r="H164" t="s">
        <v>30</v>
      </c>
      <c r="I164" t="s">
        <v>95</v>
      </c>
      <c r="J164">
        <v>57.52</v>
      </c>
      <c r="K164">
        <v>8</v>
      </c>
      <c r="L164">
        <v>0.1</v>
      </c>
      <c r="M164">
        <v>2.2799999999999998</v>
      </c>
    </row>
    <row r="165" spans="1:13">
      <c r="A165" t="s">
        <v>214</v>
      </c>
      <c r="B165" s="1">
        <v>45776.901803611108</v>
      </c>
      <c r="C165" s="1">
        <v>45781.901803611108</v>
      </c>
      <c r="D165" t="s">
        <v>28</v>
      </c>
      <c r="E165" t="s">
        <v>22</v>
      </c>
      <c r="F165" t="s">
        <v>16</v>
      </c>
      <c r="G165" t="s">
        <v>17</v>
      </c>
      <c r="H165" t="s">
        <v>25</v>
      </c>
      <c r="I165" t="s">
        <v>60</v>
      </c>
      <c r="J165">
        <v>4396.62</v>
      </c>
      <c r="K165">
        <v>7</v>
      </c>
      <c r="L165">
        <v>0.1</v>
      </c>
      <c r="M165">
        <v>685.39</v>
      </c>
    </row>
    <row r="166" spans="1:13">
      <c r="A166" t="s">
        <v>215</v>
      </c>
      <c r="B166" s="1">
        <v>45777.631262523151</v>
      </c>
      <c r="C166" s="1">
        <v>45781.631262523151</v>
      </c>
      <c r="D166" t="s">
        <v>21</v>
      </c>
      <c r="E166" t="s">
        <v>22</v>
      </c>
      <c r="F166" t="s">
        <v>16</v>
      </c>
      <c r="G166" t="s">
        <v>29</v>
      </c>
      <c r="H166" t="s">
        <v>44</v>
      </c>
      <c r="I166" t="s">
        <v>47</v>
      </c>
      <c r="J166">
        <v>107.34</v>
      </c>
      <c r="K166">
        <v>4</v>
      </c>
      <c r="L166">
        <v>0</v>
      </c>
      <c r="M166">
        <v>17.62</v>
      </c>
    </row>
    <row r="167" spans="1:13">
      <c r="A167" t="s">
        <v>216</v>
      </c>
      <c r="B167" s="1">
        <v>45778.360721446756</v>
      </c>
      <c r="C167" s="1">
        <v>45780.360721446756</v>
      </c>
      <c r="D167" t="s">
        <v>52</v>
      </c>
      <c r="E167" t="s">
        <v>22</v>
      </c>
      <c r="F167" t="s">
        <v>23</v>
      </c>
      <c r="G167" t="s">
        <v>17</v>
      </c>
      <c r="H167" t="s">
        <v>49</v>
      </c>
      <c r="I167" t="s">
        <v>55</v>
      </c>
      <c r="J167">
        <v>245.38</v>
      </c>
      <c r="K167">
        <v>2</v>
      </c>
      <c r="L167">
        <v>0.15</v>
      </c>
      <c r="M167">
        <v>45.66</v>
      </c>
    </row>
    <row r="168" spans="1:13">
      <c r="A168" t="s">
        <v>217</v>
      </c>
      <c r="B168" s="1">
        <v>45779.090180358799</v>
      </c>
      <c r="C168" s="1">
        <v>45785.090180358799</v>
      </c>
      <c r="D168" t="s">
        <v>21</v>
      </c>
      <c r="E168" t="s">
        <v>42</v>
      </c>
      <c r="F168" t="s">
        <v>23</v>
      </c>
      <c r="G168" t="s">
        <v>29</v>
      </c>
      <c r="H168" t="s">
        <v>36</v>
      </c>
      <c r="I168" t="s">
        <v>26</v>
      </c>
      <c r="J168">
        <v>1968.42</v>
      </c>
      <c r="K168">
        <v>5</v>
      </c>
      <c r="L168">
        <v>0.15</v>
      </c>
      <c r="M168">
        <v>268.39</v>
      </c>
    </row>
    <row r="169" spans="1:13">
      <c r="A169" t="s">
        <v>218</v>
      </c>
      <c r="B169" s="1">
        <v>45779.81963928241</v>
      </c>
      <c r="C169" s="1">
        <v>45785.81963928241</v>
      </c>
      <c r="D169" t="s">
        <v>63</v>
      </c>
      <c r="E169" t="s">
        <v>42</v>
      </c>
      <c r="F169" t="s">
        <v>16</v>
      </c>
      <c r="G169" t="s">
        <v>35</v>
      </c>
      <c r="H169" t="s">
        <v>30</v>
      </c>
      <c r="I169" t="s">
        <v>19</v>
      </c>
      <c r="J169">
        <v>922.86</v>
      </c>
      <c r="K169">
        <v>6</v>
      </c>
      <c r="L169">
        <v>0.1</v>
      </c>
      <c r="M169">
        <v>167.72</v>
      </c>
    </row>
    <row r="170" spans="1:13">
      <c r="A170" t="s">
        <v>219</v>
      </c>
      <c r="B170" s="1">
        <v>45780.549098194446</v>
      </c>
      <c r="C170" s="1">
        <v>45781.549098194446</v>
      </c>
      <c r="D170" t="s">
        <v>28</v>
      </c>
      <c r="E170" t="s">
        <v>22</v>
      </c>
      <c r="F170" t="s">
        <v>34</v>
      </c>
      <c r="G170" t="s">
        <v>35</v>
      </c>
      <c r="H170" t="s">
        <v>39</v>
      </c>
      <c r="I170" t="s">
        <v>73</v>
      </c>
      <c r="J170">
        <v>12.22</v>
      </c>
      <c r="K170">
        <v>1</v>
      </c>
      <c r="L170">
        <v>0.05</v>
      </c>
      <c r="M170">
        <v>0.54</v>
      </c>
    </row>
    <row r="171" spans="1:13">
      <c r="A171" t="s">
        <v>220</v>
      </c>
      <c r="B171" s="1">
        <v>45781.278557118058</v>
      </c>
      <c r="C171" s="1">
        <v>45785.278557118058</v>
      </c>
      <c r="D171" t="s">
        <v>52</v>
      </c>
      <c r="E171" t="s">
        <v>22</v>
      </c>
      <c r="F171" t="s">
        <v>16</v>
      </c>
      <c r="G171" t="s">
        <v>24</v>
      </c>
      <c r="H171" t="s">
        <v>18</v>
      </c>
      <c r="I171" t="s">
        <v>64</v>
      </c>
      <c r="J171">
        <v>573.91</v>
      </c>
      <c r="K171">
        <v>3</v>
      </c>
      <c r="L171">
        <v>0.1</v>
      </c>
      <c r="M171">
        <v>60.71</v>
      </c>
    </row>
    <row r="172" spans="1:13">
      <c r="A172" t="s">
        <v>221</v>
      </c>
      <c r="B172" s="1">
        <v>45782.008016030093</v>
      </c>
      <c r="C172" s="1">
        <v>45783.008016030093</v>
      </c>
      <c r="D172" t="s">
        <v>14</v>
      </c>
      <c r="E172" t="s">
        <v>22</v>
      </c>
      <c r="F172" t="s">
        <v>16</v>
      </c>
      <c r="G172" t="s">
        <v>35</v>
      </c>
      <c r="H172" t="s">
        <v>18</v>
      </c>
      <c r="I172" t="s">
        <v>112</v>
      </c>
      <c r="J172">
        <v>142.81</v>
      </c>
      <c r="K172">
        <v>4</v>
      </c>
      <c r="L172">
        <v>0.15</v>
      </c>
      <c r="M172">
        <v>5.38</v>
      </c>
    </row>
    <row r="173" spans="1:13">
      <c r="A173" t="s">
        <v>222</v>
      </c>
      <c r="B173" s="1">
        <v>45782.737474953705</v>
      </c>
      <c r="C173" s="1">
        <v>45788.737474953705</v>
      </c>
      <c r="D173" t="s">
        <v>28</v>
      </c>
      <c r="E173" t="s">
        <v>15</v>
      </c>
      <c r="F173" t="s">
        <v>23</v>
      </c>
      <c r="G173" t="s">
        <v>24</v>
      </c>
      <c r="H173" t="s">
        <v>25</v>
      </c>
      <c r="I173" t="s">
        <v>31</v>
      </c>
      <c r="J173">
        <v>134.54</v>
      </c>
      <c r="K173">
        <v>1</v>
      </c>
      <c r="L173">
        <v>0.15</v>
      </c>
      <c r="M173">
        <v>21.94</v>
      </c>
    </row>
    <row r="174" spans="1:13">
      <c r="A174" t="s">
        <v>223</v>
      </c>
      <c r="B174" s="1">
        <v>45783.46693386574</v>
      </c>
      <c r="C174" s="1">
        <v>45786.46693386574</v>
      </c>
      <c r="D174" t="s">
        <v>52</v>
      </c>
      <c r="E174" t="s">
        <v>22</v>
      </c>
      <c r="F174" t="s">
        <v>16</v>
      </c>
      <c r="G174" t="s">
        <v>24</v>
      </c>
      <c r="H174" t="s">
        <v>49</v>
      </c>
      <c r="I174" t="s">
        <v>64</v>
      </c>
      <c r="J174">
        <v>215.29</v>
      </c>
      <c r="K174">
        <v>1</v>
      </c>
      <c r="L174">
        <v>0.1</v>
      </c>
      <c r="M174">
        <v>6.91</v>
      </c>
    </row>
    <row r="175" spans="1:13">
      <c r="A175" t="s">
        <v>224</v>
      </c>
      <c r="B175" s="1">
        <v>45784.196392789352</v>
      </c>
      <c r="C175" s="1">
        <v>45787.196392789352</v>
      </c>
      <c r="D175" t="s">
        <v>14</v>
      </c>
      <c r="E175" t="s">
        <v>42</v>
      </c>
      <c r="F175" t="s">
        <v>16</v>
      </c>
      <c r="G175" t="s">
        <v>29</v>
      </c>
      <c r="H175" t="s">
        <v>53</v>
      </c>
      <c r="I175" t="s">
        <v>60</v>
      </c>
      <c r="J175">
        <v>1812.85</v>
      </c>
      <c r="K175">
        <v>3</v>
      </c>
      <c r="L175">
        <v>0</v>
      </c>
      <c r="M175">
        <v>430.72</v>
      </c>
    </row>
    <row r="176" spans="1:13">
      <c r="A176" t="s">
        <v>225</v>
      </c>
      <c r="B176" s="1">
        <v>45784.925851701388</v>
      </c>
      <c r="C176" s="1">
        <v>45788.925851701388</v>
      </c>
      <c r="D176" t="s">
        <v>52</v>
      </c>
      <c r="E176" t="s">
        <v>15</v>
      </c>
      <c r="F176" t="s">
        <v>23</v>
      </c>
      <c r="G176" t="s">
        <v>17</v>
      </c>
      <c r="H176" t="s">
        <v>30</v>
      </c>
      <c r="I176" t="s">
        <v>31</v>
      </c>
      <c r="J176">
        <v>1011.14</v>
      </c>
      <c r="K176">
        <v>7</v>
      </c>
      <c r="L176">
        <v>0.1</v>
      </c>
      <c r="M176">
        <v>114.25</v>
      </c>
    </row>
    <row r="177" spans="1:13">
      <c r="A177" t="s">
        <v>226</v>
      </c>
      <c r="B177" s="1">
        <v>45785.655310624999</v>
      </c>
      <c r="C177" s="1">
        <v>45790.655310624999</v>
      </c>
      <c r="D177" t="s">
        <v>52</v>
      </c>
      <c r="E177" t="s">
        <v>22</v>
      </c>
      <c r="F177" t="s">
        <v>16</v>
      </c>
      <c r="G177" t="s">
        <v>35</v>
      </c>
      <c r="H177" t="s">
        <v>30</v>
      </c>
      <c r="I177" t="s">
        <v>64</v>
      </c>
      <c r="J177">
        <v>348.75</v>
      </c>
      <c r="K177">
        <v>2</v>
      </c>
      <c r="L177">
        <v>0.15</v>
      </c>
      <c r="M177">
        <v>14.44</v>
      </c>
    </row>
    <row r="178" spans="1:13">
      <c r="A178" t="s">
        <v>227</v>
      </c>
      <c r="B178" s="1">
        <v>45786.384769537035</v>
      </c>
      <c r="C178" s="1">
        <v>45788.384769537035</v>
      </c>
      <c r="D178" t="s">
        <v>63</v>
      </c>
      <c r="E178" t="s">
        <v>42</v>
      </c>
      <c r="F178" t="s">
        <v>16</v>
      </c>
      <c r="G178" t="s">
        <v>17</v>
      </c>
      <c r="H178" t="s">
        <v>39</v>
      </c>
      <c r="I178" t="s">
        <v>60</v>
      </c>
      <c r="J178">
        <v>3104.93</v>
      </c>
      <c r="K178">
        <v>7</v>
      </c>
      <c r="L178">
        <v>0.3</v>
      </c>
      <c r="M178">
        <v>-129.93</v>
      </c>
    </row>
    <row r="179" spans="1:13">
      <c r="A179" t="s">
        <v>228</v>
      </c>
      <c r="B179" s="1">
        <v>45787.114228460647</v>
      </c>
      <c r="C179" s="1">
        <v>45790.114228460647</v>
      </c>
      <c r="D179" t="s">
        <v>52</v>
      </c>
      <c r="E179" t="s">
        <v>22</v>
      </c>
      <c r="F179" t="s">
        <v>23</v>
      </c>
      <c r="G179" t="s">
        <v>17</v>
      </c>
      <c r="H179" t="s">
        <v>18</v>
      </c>
      <c r="I179" t="s">
        <v>26</v>
      </c>
      <c r="J179">
        <v>1245.49</v>
      </c>
      <c r="K179">
        <v>3</v>
      </c>
      <c r="L179">
        <v>0.2</v>
      </c>
      <c r="M179">
        <v>139.21</v>
      </c>
    </row>
    <row r="180" spans="1:13">
      <c r="A180" t="s">
        <v>229</v>
      </c>
      <c r="B180" s="1">
        <v>45787.843687372682</v>
      </c>
      <c r="C180" s="1">
        <v>45788.843687372682</v>
      </c>
      <c r="D180" t="s">
        <v>63</v>
      </c>
      <c r="E180" t="s">
        <v>22</v>
      </c>
      <c r="F180" t="s">
        <v>23</v>
      </c>
      <c r="G180" t="s">
        <v>17</v>
      </c>
      <c r="H180" t="s">
        <v>18</v>
      </c>
      <c r="I180" t="s">
        <v>45</v>
      </c>
      <c r="J180">
        <v>1225.19</v>
      </c>
      <c r="K180">
        <v>4</v>
      </c>
      <c r="L180">
        <v>0</v>
      </c>
      <c r="M180">
        <v>143.66999999999999</v>
      </c>
    </row>
    <row r="181" spans="1:13">
      <c r="A181" t="s">
        <v>230</v>
      </c>
      <c r="B181" s="1">
        <v>45788.573146296294</v>
      </c>
      <c r="C181" s="1">
        <v>45794.573146296294</v>
      </c>
      <c r="D181" t="s">
        <v>28</v>
      </c>
      <c r="E181" t="s">
        <v>42</v>
      </c>
      <c r="F181" t="s">
        <v>34</v>
      </c>
      <c r="G181" t="s">
        <v>35</v>
      </c>
      <c r="H181" t="s">
        <v>30</v>
      </c>
      <c r="I181" t="s">
        <v>95</v>
      </c>
      <c r="J181">
        <v>51.2</v>
      </c>
      <c r="K181">
        <v>7</v>
      </c>
      <c r="L181">
        <v>0.15</v>
      </c>
      <c r="M181">
        <v>4.1100000000000003</v>
      </c>
    </row>
    <row r="182" spans="1:13">
      <c r="A182" t="s">
        <v>231</v>
      </c>
      <c r="B182" s="1">
        <v>45789.302605208337</v>
      </c>
      <c r="C182" s="1">
        <v>45795.302605208337</v>
      </c>
      <c r="D182" t="s">
        <v>52</v>
      </c>
      <c r="E182" t="s">
        <v>15</v>
      </c>
      <c r="F182" t="s">
        <v>34</v>
      </c>
      <c r="G182" t="s">
        <v>24</v>
      </c>
      <c r="H182" t="s">
        <v>18</v>
      </c>
      <c r="I182" t="s">
        <v>95</v>
      </c>
      <c r="J182">
        <v>8.16</v>
      </c>
      <c r="K182">
        <v>1</v>
      </c>
      <c r="L182">
        <v>0.05</v>
      </c>
      <c r="M182">
        <v>0.9</v>
      </c>
    </row>
    <row r="183" spans="1:13">
      <c r="A183" t="s">
        <v>232</v>
      </c>
      <c r="B183" s="1">
        <v>45790.032064131941</v>
      </c>
      <c r="C183" s="1">
        <v>45791.032064131941</v>
      </c>
      <c r="D183" t="s">
        <v>63</v>
      </c>
      <c r="E183" t="s">
        <v>22</v>
      </c>
      <c r="F183" t="s">
        <v>16</v>
      </c>
      <c r="G183" t="s">
        <v>17</v>
      </c>
      <c r="H183" t="s">
        <v>53</v>
      </c>
      <c r="I183" t="s">
        <v>47</v>
      </c>
      <c r="J183">
        <v>49.36</v>
      </c>
      <c r="K183">
        <v>2</v>
      </c>
      <c r="L183">
        <v>0.05</v>
      </c>
      <c r="M183">
        <v>5.55</v>
      </c>
    </row>
    <row r="184" spans="1:13">
      <c r="A184" t="s">
        <v>233</v>
      </c>
      <c r="B184" s="1">
        <v>45790.761523043984</v>
      </c>
      <c r="C184" s="1">
        <v>45792.761523043984</v>
      </c>
      <c r="D184" t="s">
        <v>52</v>
      </c>
      <c r="E184" t="s">
        <v>22</v>
      </c>
      <c r="F184" t="s">
        <v>23</v>
      </c>
      <c r="G184" t="s">
        <v>35</v>
      </c>
      <c r="H184" t="s">
        <v>18</v>
      </c>
      <c r="I184" t="s">
        <v>45</v>
      </c>
      <c r="J184">
        <v>504.19</v>
      </c>
      <c r="K184">
        <v>2</v>
      </c>
      <c r="L184">
        <v>0.1</v>
      </c>
      <c r="M184">
        <v>70.92</v>
      </c>
    </row>
    <row r="185" spans="1:13">
      <c r="A185" t="s">
        <v>234</v>
      </c>
      <c r="B185" s="1">
        <v>45791.490981967596</v>
      </c>
      <c r="C185" s="1">
        <v>45796.490981967596</v>
      </c>
      <c r="D185" t="s">
        <v>21</v>
      </c>
      <c r="E185" t="s">
        <v>22</v>
      </c>
      <c r="F185" t="s">
        <v>34</v>
      </c>
      <c r="G185" t="s">
        <v>35</v>
      </c>
      <c r="H185" t="s">
        <v>25</v>
      </c>
      <c r="I185" t="s">
        <v>87</v>
      </c>
      <c r="J185">
        <v>127.53</v>
      </c>
      <c r="K185">
        <v>6</v>
      </c>
      <c r="L185">
        <v>0.2</v>
      </c>
      <c r="M185">
        <v>1.22</v>
      </c>
    </row>
    <row r="186" spans="1:13">
      <c r="A186" t="s">
        <v>235</v>
      </c>
      <c r="B186" s="1">
        <v>45792.220440879631</v>
      </c>
      <c r="C186" s="1">
        <v>45795.220440879631</v>
      </c>
      <c r="D186" t="s">
        <v>33</v>
      </c>
      <c r="E186" t="s">
        <v>22</v>
      </c>
      <c r="F186" t="s">
        <v>23</v>
      </c>
      <c r="G186" t="s">
        <v>35</v>
      </c>
      <c r="H186" t="s">
        <v>49</v>
      </c>
      <c r="I186" t="s">
        <v>55</v>
      </c>
      <c r="J186">
        <v>1057.77</v>
      </c>
      <c r="K186">
        <v>8</v>
      </c>
      <c r="L186">
        <v>0.1</v>
      </c>
      <c r="M186">
        <v>162.66999999999999</v>
      </c>
    </row>
    <row r="187" spans="1:13">
      <c r="A187" t="s">
        <v>236</v>
      </c>
      <c r="B187" s="1">
        <v>45792.949899803243</v>
      </c>
      <c r="C187" s="1">
        <v>45796.949899803243</v>
      </c>
      <c r="D187" t="s">
        <v>33</v>
      </c>
      <c r="E187" t="s">
        <v>22</v>
      </c>
      <c r="F187" t="s">
        <v>16</v>
      </c>
      <c r="G187" t="s">
        <v>29</v>
      </c>
      <c r="H187" t="s">
        <v>49</v>
      </c>
      <c r="I187" t="s">
        <v>19</v>
      </c>
      <c r="J187">
        <v>519.59</v>
      </c>
      <c r="K187">
        <v>4</v>
      </c>
      <c r="L187">
        <v>0.3</v>
      </c>
      <c r="M187">
        <v>12.17</v>
      </c>
    </row>
    <row r="188" spans="1:13">
      <c r="A188" t="s">
        <v>237</v>
      </c>
      <c r="B188" s="1">
        <v>45793.679358715279</v>
      </c>
      <c r="C188" s="1">
        <v>45797.679358715279</v>
      </c>
      <c r="D188" t="s">
        <v>14</v>
      </c>
      <c r="E188" t="s">
        <v>42</v>
      </c>
      <c r="F188" t="s">
        <v>16</v>
      </c>
      <c r="G188" t="s">
        <v>17</v>
      </c>
      <c r="H188" t="s">
        <v>30</v>
      </c>
      <c r="I188" t="s">
        <v>19</v>
      </c>
      <c r="J188">
        <v>654.57000000000005</v>
      </c>
      <c r="K188">
        <v>4</v>
      </c>
      <c r="L188">
        <v>0.05</v>
      </c>
      <c r="M188">
        <v>64.02</v>
      </c>
    </row>
    <row r="189" spans="1:13">
      <c r="A189" t="s">
        <v>238</v>
      </c>
      <c r="B189" s="1">
        <v>45794.40881763889</v>
      </c>
      <c r="C189" s="1">
        <v>45798.40881763889</v>
      </c>
      <c r="D189" t="s">
        <v>21</v>
      </c>
      <c r="E189" t="s">
        <v>15</v>
      </c>
      <c r="F189" t="s">
        <v>34</v>
      </c>
      <c r="G189" t="s">
        <v>24</v>
      </c>
      <c r="H189" t="s">
        <v>39</v>
      </c>
      <c r="I189" t="s">
        <v>73</v>
      </c>
      <c r="J189">
        <v>52.69</v>
      </c>
      <c r="K189">
        <v>5</v>
      </c>
      <c r="L189">
        <v>0.05</v>
      </c>
      <c r="M189">
        <v>3.96</v>
      </c>
    </row>
    <row r="190" spans="1:13">
      <c r="A190" t="s">
        <v>239</v>
      </c>
      <c r="B190" s="1">
        <v>45795.138276550926</v>
      </c>
      <c r="C190" s="1">
        <v>45801.138276550926</v>
      </c>
      <c r="D190" t="s">
        <v>52</v>
      </c>
      <c r="E190" t="s">
        <v>22</v>
      </c>
      <c r="F190" t="s">
        <v>34</v>
      </c>
      <c r="G190" t="s">
        <v>17</v>
      </c>
      <c r="H190" t="s">
        <v>44</v>
      </c>
      <c r="I190" t="s">
        <v>73</v>
      </c>
      <c r="J190">
        <v>26.01</v>
      </c>
      <c r="K190">
        <v>2</v>
      </c>
      <c r="L190">
        <v>0</v>
      </c>
      <c r="M190">
        <v>3.55</v>
      </c>
    </row>
    <row r="191" spans="1:13">
      <c r="A191" t="s">
        <v>240</v>
      </c>
      <c r="B191" s="1">
        <v>45795.867735474538</v>
      </c>
      <c r="C191" s="1">
        <v>45799.867735474538</v>
      </c>
      <c r="D191" t="s">
        <v>63</v>
      </c>
      <c r="E191" t="s">
        <v>42</v>
      </c>
      <c r="F191" t="s">
        <v>23</v>
      </c>
      <c r="G191" t="s">
        <v>24</v>
      </c>
      <c r="H191" t="s">
        <v>39</v>
      </c>
      <c r="I191" t="s">
        <v>55</v>
      </c>
      <c r="J191">
        <v>431.59</v>
      </c>
      <c r="K191">
        <v>3</v>
      </c>
      <c r="L191">
        <v>0</v>
      </c>
      <c r="M191">
        <v>65.92</v>
      </c>
    </row>
    <row r="192" spans="1:13">
      <c r="A192" t="s">
        <v>241</v>
      </c>
      <c r="B192" s="1">
        <v>45796.597194386573</v>
      </c>
      <c r="C192" s="1">
        <v>45798.597194386573</v>
      </c>
      <c r="D192" t="s">
        <v>14</v>
      </c>
      <c r="E192" t="s">
        <v>22</v>
      </c>
      <c r="F192" t="s">
        <v>23</v>
      </c>
      <c r="G192" t="s">
        <v>17</v>
      </c>
      <c r="H192" t="s">
        <v>36</v>
      </c>
      <c r="I192" t="s">
        <v>45</v>
      </c>
      <c r="J192">
        <v>259.2</v>
      </c>
      <c r="K192">
        <v>1</v>
      </c>
      <c r="L192">
        <v>0.2</v>
      </c>
      <c r="M192">
        <v>13.9</v>
      </c>
    </row>
    <row r="193" spans="1:13">
      <c r="A193" t="s">
        <v>242</v>
      </c>
      <c r="B193" s="1">
        <v>45797.326653310185</v>
      </c>
      <c r="C193" s="1">
        <v>45799.326653310185</v>
      </c>
      <c r="D193" t="s">
        <v>63</v>
      </c>
      <c r="E193" t="s">
        <v>15</v>
      </c>
      <c r="F193" t="s">
        <v>34</v>
      </c>
      <c r="G193" t="s">
        <v>29</v>
      </c>
      <c r="H193" t="s">
        <v>18</v>
      </c>
      <c r="I193" t="s">
        <v>40</v>
      </c>
      <c r="J193">
        <v>54.16</v>
      </c>
      <c r="K193">
        <v>4</v>
      </c>
      <c r="L193">
        <v>0.15</v>
      </c>
      <c r="M193">
        <v>7.88</v>
      </c>
    </row>
    <row r="194" spans="1:13">
      <c r="A194" t="s">
        <v>243</v>
      </c>
      <c r="B194" s="1">
        <v>45798.056112222221</v>
      </c>
      <c r="C194" s="1">
        <v>45803.056112222221</v>
      </c>
      <c r="D194" t="s">
        <v>14</v>
      </c>
      <c r="E194" t="s">
        <v>15</v>
      </c>
      <c r="F194" t="s">
        <v>16</v>
      </c>
      <c r="G194" t="s">
        <v>17</v>
      </c>
      <c r="H194" t="s">
        <v>49</v>
      </c>
      <c r="I194" t="s">
        <v>112</v>
      </c>
      <c r="J194">
        <v>135.84</v>
      </c>
      <c r="K194">
        <v>4</v>
      </c>
      <c r="L194">
        <v>0.2</v>
      </c>
      <c r="M194">
        <v>0.98</v>
      </c>
    </row>
    <row r="195" spans="1:13">
      <c r="A195" t="s">
        <v>244</v>
      </c>
      <c r="B195" s="1">
        <v>45798.785571145832</v>
      </c>
      <c r="C195" s="1">
        <v>45803.785571145832</v>
      </c>
      <c r="D195" t="s">
        <v>21</v>
      </c>
      <c r="E195" t="s">
        <v>15</v>
      </c>
      <c r="F195" t="s">
        <v>16</v>
      </c>
      <c r="G195" t="s">
        <v>29</v>
      </c>
      <c r="H195" t="s">
        <v>30</v>
      </c>
      <c r="I195" t="s">
        <v>19</v>
      </c>
      <c r="J195">
        <v>835.52</v>
      </c>
      <c r="K195">
        <v>5</v>
      </c>
      <c r="L195">
        <v>0</v>
      </c>
      <c r="M195">
        <v>91.42</v>
      </c>
    </row>
    <row r="196" spans="1:13">
      <c r="A196" t="s">
        <v>245</v>
      </c>
      <c r="B196" s="1">
        <v>45799.515030057868</v>
      </c>
      <c r="C196" s="1">
        <v>45803.515030057868</v>
      </c>
      <c r="D196" t="s">
        <v>21</v>
      </c>
      <c r="E196" t="s">
        <v>42</v>
      </c>
      <c r="F196" t="s">
        <v>23</v>
      </c>
      <c r="G196" t="s">
        <v>29</v>
      </c>
      <c r="H196" t="s">
        <v>44</v>
      </c>
      <c r="I196" t="s">
        <v>31</v>
      </c>
      <c r="J196">
        <v>154.91</v>
      </c>
      <c r="K196">
        <v>1</v>
      </c>
      <c r="L196">
        <v>0</v>
      </c>
      <c r="M196">
        <v>32.119999999999997</v>
      </c>
    </row>
    <row r="197" spans="1:13">
      <c r="A197" t="s">
        <v>246</v>
      </c>
      <c r="B197" s="1">
        <v>45800.24448898148</v>
      </c>
      <c r="C197" s="1">
        <v>45801.24448898148</v>
      </c>
      <c r="D197" t="s">
        <v>14</v>
      </c>
      <c r="E197" t="s">
        <v>42</v>
      </c>
      <c r="F197" t="s">
        <v>16</v>
      </c>
      <c r="G197" t="s">
        <v>24</v>
      </c>
      <c r="H197" t="s">
        <v>39</v>
      </c>
      <c r="I197" t="s">
        <v>47</v>
      </c>
      <c r="J197">
        <v>183.45</v>
      </c>
      <c r="K197">
        <v>8</v>
      </c>
      <c r="L197">
        <v>0.1</v>
      </c>
      <c r="M197">
        <v>17.829999999999998</v>
      </c>
    </row>
    <row r="198" spans="1:13">
      <c r="A198" t="s">
        <v>247</v>
      </c>
      <c r="B198" s="1">
        <v>45800.973947893515</v>
      </c>
      <c r="C198" s="1">
        <v>45805.973947893515</v>
      </c>
      <c r="D198" t="s">
        <v>52</v>
      </c>
      <c r="E198" t="s">
        <v>42</v>
      </c>
      <c r="F198" t="s">
        <v>16</v>
      </c>
      <c r="G198" t="s">
        <v>35</v>
      </c>
      <c r="H198" t="s">
        <v>30</v>
      </c>
      <c r="I198" t="s">
        <v>60</v>
      </c>
      <c r="J198">
        <v>2756.19</v>
      </c>
      <c r="K198">
        <v>4</v>
      </c>
      <c r="L198">
        <v>0</v>
      </c>
      <c r="M198">
        <v>281.32</v>
      </c>
    </row>
    <row r="199" spans="1:13">
      <c r="A199" t="s">
        <v>248</v>
      </c>
      <c r="B199" s="1">
        <v>45801.703406817127</v>
      </c>
      <c r="C199" s="1">
        <v>45807.703406817127</v>
      </c>
      <c r="D199" t="s">
        <v>63</v>
      </c>
      <c r="E199" t="s">
        <v>15</v>
      </c>
      <c r="F199" t="s">
        <v>16</v>
      </c>
      <c r="G199" t="s">
        <v>29</v>
      </c>
      <c r="H199" t="s">
        <v>39</v>
      </c>
      <c r="I199" t="s">
        <v>64</v>
      </c>
      <c r="J199">
        <v>600.91</v>
      </c>
      <c r="K199">
        <v>3</v>
      </c>
      <c r="L199">
        <v>0</v>
      </c>
      <c r="M199">
        <v>76.989999999999995</v>
      </c>
    </row>
    <row r="200" spans="1:13">
      <c r="A200" t="s">
        <v>249</v>
      </c>
      <c r="B200" s="1">
        <v>45802.43286572917</v>
      </c>
      <c r="C200" s="1">
        <v>45803.43286572917</v>
      </c>
      <c r="D200" t="s">
        <v>21</v>
      </c>
      <c r="E200" t="s">
        <v>42</v>
      </c>
      <c r="F200" t="s">
        <v>23</v>
      </c>
      <c r="G200" t="s">
        <v>29</v>
      </c>
      <c r="H200" t="s">
        <v>53</v>
      </c>
      <c r="I200" t="s">
        <v>26</v>
      </c>
      <c r="J200">
        <v>2947.12</v>
      </c>
      <c r="K200">
        <v>6</v>
      </c>
      <c r="L200">
        <v>0.1</v>
      </c>
      <c r="M200">
        <v>166.67</v>
      </c>
    </row>
    <row r="201" spans="1:13">
      <c r="A201" t="s">
        <v>250</v>
      </c>
      <c r="B201" s="1">
        <v>45803.162324652774</v>
      </c>
      <c r="C201" s="1">
        <v>45809.162324652774</v>
      </c>
      <c r="D201" t="s">
        <v>33</v>
      </c>
      <c r="E201" t="s">
        <v>15</v>
      </c>
      <c r="F201" t="s">
        <v>34</v>
      </c>
      <c r="G201" t="s">
        <v>17</v>
      </c>
      <c r="H201" t="s">
        <v>49</v>
      </c>
      <c r="I201" t="s">
        <v>40</v>
      </c>
      <c r="J201">
        <v>15.62</v>
      </c>
      <c r="K201">
        <v>1</v>
      </c>
      <c r="L201">
        <v>0.05</v>
      </c>
      <c r="M201">
        <v>2</v>
      </c>
    </row>
    <row r="202" spans="1:13">
      <c r="A202" t="s">
        <v>251</v>
      </c>
      <c r="B202" s="1">
        <v>45803.891783564817</v>
      </c>
      <c r="C202" s="1">
        <v>45808.891783564817</v>
      </c>
      <c r="D202" t="s">
        <v>28</v>
      </c>
      <c r="E202" t="s">
        <v>42</v>
      </c>
      <c r="F202" t="s">
        <v>16</v>
      </c>
      <c r="G202" t="s">
        <v>29</v>
      </c>
      <c r="H202" t="s">
        <v>36</v>
      </c>
      <c r="I202" t="s">
        <v>19</v>
      </c>
      <c r="J202">
        <v>580.6</v>
      </c>
      <c r="K202">
        <v>4</v>
      </c>
      <c r="L202">
        <v>0.2</v>
      </c>
      <c r="M202">
        <v>82.19</v>
      </c>
    </row>
    <row r="203" spans="1:13">
      <c r="A203" t="s">
        <v>252</v>
      </c>
      <c r="B203" s="1">
        <v>45804.621242488429</v>
      </c>
      <c r="C203" s="1">
        <v>45810.621242488429</v>
      </c>
      <c r="D203" t="s">
        <v>28</v>
      </c>
      <c r="E203" t="s">
        <v>22</v>
      </c>
      <c r="F203" t="s">
        <v>34</v>
      </c>
      <c r="G203" t="s">
        <v>35</v>
      </c>
      <c r="H203" t="s">
        <v>36</v>
      </c>
      <c r="I203" t="s">
        <v>73</v>
      </c>
      <c r="J203">
        <v>53.88</v>
      </c>
      <c r="K203">
        <v>5</v>
      </c>
      <c r="L203">
        <v>0.15</v>
      </c>
      <c r="M203">
        <v>7.28</v>
      </c>
    </row>
    <row r="204" spans="1:13">
      <c r="A204" t="s">
        <v>253</v>
      </c>
      <c r="B204" s="1">
        <v>45805.350701400464</v>
      </c>
      <c r="C204" s="1">
        <v>45808.350701400464</v>
      </c>
      <c r="D204" t="s">
        <v>28</v>
      </c>
      <c r="E204" t="s">
        <v>42</v>
      </c>
      <c r="F204" t="s">
        <v>16</v>
      </c>
      <c r="G204" t="s">
        <v>35</v>
      </c>
      <c r="H204" t="s">
        <v>36</v>
      </c>
      <c r="I204" t="s">
        <v>60</v>
      </c>
      <c r="J204">
        <v>2926.37</v>
      </c>
      <c r="K204">
        <v>5</v>
      </c>
      <c r="L204">
        <v>0.05</v>
      </c>
      <c r="M204">
        <v>392.87</v>
      </c>
    </row>
    <row r="205" spans="1:13">
      <c r="A205" t="s">
        <v>254</v>
      </c>
      <c r="B205" s="1">
        <v>45806.080160324076</v>
      </c>
      <c r="C205" s="1">
        <v>45811.080160324076</v>
      </c>
      <c r="D205" t="s">
        <v>28</v>
      </c>
      <c r="E205" t="s">
        <v>42</v>
      </c>
      <c r="F205" t="s">
        <v>23</v>
      </c>
      <c r="G205" t="s">
        <v>17</v>
      </c>
      <c r="H205" t="s">
        <v>39</v>
      </c>
      <c r="I205" t="s">
        <v>55</v>
      </c>
      <c r="J205">
        <v>671.59</v>
      </c>
      <c r="K205">
        <v>6</v>
      </c>
      <c r="L205">
        <v>0.2</v>
      </c>
      <c r="M205">
        <v>113.22</v>
      </c>
    </row>
    <row r="206" spans="1:13">
      <c r="A206" t="s">
        <v>255</v>
      </c>
      <c r="B206" s="1">
        <v>45806.809619236112</v>
      </c>
      <c r="C206" s="1">
        <v>45812.809619236112</v>
      </c>
      <c r="D206" t="s">
        <v>52</v>
      </c>
      <c r="E206" t="s">
        <v>15</v>
      </c>
      <c r="F206" t="s">
        <v>23</v>
      </c>
      <c r="G206" t="s">
        <v>17</v>
      </c>
      <c r="H206" t="s">
        <v>39</v>
      </c>
      <c r="I206" t="s">
        <v>45</v>
      </c>
      <c r="J206">
        <v>558.82000000000005</v>
      </c>
      <c r="K206">
        <v>2</v>
      </c>
      <c r="L206">
        <v>0.1</v>
      </c>
      <c r="M206">
        <v>67.53</v>
      </c>
    </row>
    <row r="207" spans="1:13">
      <c r="A207" t="s">
        <v>256</v>
      </c>
      <c r="B207" s="1">
        <v>45807.539078159723</v>
      </c>
      <c r="C207" s="1">
        <v>45809.539078159723</v>
      </c>
      <c r="D207" t="s">
        <v>52</v>
      </c>
      <c r="E207" t="s">
        <v>42</v>
      </c>
      <c r="F207" t="s">
        <v>16</v>
      </c>
      <c r="G207" t="s">
        <v>17</v>
      </c>
      <c r="H207" t="s">
        <v>36</v>
      </c>
      <c r="I207" t="s">
        <v>60</v>
      </c>
      <c r="J207">
        <v>4040.26</v>
      </c>
      <c r="K207">
        <v>7</v>
      </c>
      <c r="L207">
        <v>0.05</v>
      </c>
      <c r="M207">
        <v>677.11</v>
      </c>
    </row>
    <row r="208" spans="1:13">
      <c r="A208" t="s">
        <v>257</v>
      </c>
      <c r="B208" s="1">
        <v>45808.268537071759</v>
      </c>
      <c r="C208" s="1">
        <v>45814.268537071759</v>
      </c>
      <c r="D208" t="s">
        <v>52</v>
      </c>
      <c r="E208" t="s">
        <v>42</v>
      </c>
      <c r="F208" t="s">
        <v>34</v>
      </c>
      <c r="G208" t="s">
        <v>24</v>
      </c>
      <c r="H208" t="s">
        <v>25</v>
      </c>
      <c r="I208" t="s">
        <v>73</v>
      </c>
      <c r="J208">
        <v>52.06</v>
      </c>
      <c r="K208">
        <v>5</v>
      </c>
      <c r="L208">
        <v>0.2</v>
      </c>
      <c r="M208">
        <v>4.04</v>
      </c>
    </row>
    <row r="209" spans="1:13">
      <c r="A209" t="s">
        <v>258</v>
      </c>
      <c r="B209" s="1">
        <v>45808.997995995371</v>
      </c>
      <c r="C209" s="1">
        <v>45810.997995995371</v>
      </c>
      <c r="D209" t="s">
        <v>28</v>
      </c>
      <c r="E209" t="s">
        <v>22</v>
      </c>
      <c r="F209" t="s">
        <v>23</v>
      </c>
      <c r="G209" t="s">
        <v>35</v>
      </c>
      <c r="H209" t="s">
        <v>25</v>
      </c>
      <c r="I209" t="s">
        <v>31</v>
      </c>
      <c r="J209">
        <v>934.57</v>
      </c>
      <c r="K209">
        <v>6</v>
      </c>
      <c r="L209">
        <v>0</v>
      </c>
      <c r="M209">
        <v>67.540000000000006</v>
      </c>
    </row>
    <row r="210" spans="1:13">
      <c r="A210" t="s">
        <v>259</v>
      </c>
      <c r="B210" s="1">
        <v>45809.727454907406</v>
      </c>
      <c r="C210" s="1">
        <v>45813.727454907406</v>
      </c>
      <c r="D210" t="s">
        <v>21</v>
      </c>
      <c r="E210" t="s">
        <v>22</v>
      </c>
      <c r="F210" t="s">
        <v>16</v>
      </c>
      <c r="G210" t="s">
        <v>17</v>
      </c>
      <c r="H210" t="s">
        <v>39</v>
      </c>
      <c r="I210" t="s">
        <v>47</v>
      </c>
      <c r="J210">
        <v>203.77</v>
      </c>
      <c r="K210">
        <v>8</v>
      </c>
      <c r="L210">
        <v>0</v>
      </c>
      <c r="M210">
        <v>46.57</v>
      </c>
    </row>
    <row r="211" spans="1:13">
      <c r="A211" t="s">
        <v>260</v>
      </c>
      <c r="B211" s="1">
        <v>45810.456913831018</v>
      </c>
      <c r="C211" s="1">
        <v>45813.456913831018</v>
      </c>
      <c r="D211" t="s">
        <v>33</v>
      </c>
      <c r="E211" t="s">
        <v>15</v>
      </c>
      <c r="F211" t="s">
        <v>23</v>
      </c>
      <c r="G211" t="s">
        <v>29</v>
      </c>
      <c r="H211" t="s">
        <v>36</v>
      </c>
      <c r="I211" t="s">
        <v>31</v>
      </c>
      <c r="J211">
        <v>444.98</v>
      </c>
      <c r="K211">
        <v>3</v>
      </c>
      <c r="L211">
        <v>0.1</v>
      </c>
      <c r="M211">
        <v>23.3</v>
      </c>
    </row>
    <row r="212" spans="1:13">
      <c r="A212" t="s">
        <v>261</v>
      </c>
      <c r="B212" s="1">
        <v>45811.186372743054</v>
      </c>
      <c r="C212" s="1">
        <v>45814.186372743054</v>
      </c>
      <c r="D212" t="s">
        <v>63</v>
      </c>
      <c r="E212" t="s">
        <v>15</v>
      </c>
      <c r="F212" t="s">
        <v>16</v>
      </c>
      <c r="G212" t="s">
        <v>24</v>
      </c>
      <c r="H212" t="s">
        <v>53</v>
      </c>
      <c r="I212" t="s">
        <v>112</v>
      </c>
      <c r="J212">
        <v>93.51</v>
      </c>
      <c r="K212">
        <v>2</v>
      </c>
      <c r="L212">
        <v>0</v>
      </c>
      <c r="M212">
        <v>22.17</v>
      </c>
    </row>
    <row r="213" spans="1:13">
      <c r="A213" t="s">
        <v>262</v>
      </c>
      <c r="B213" s="1">
        <v>45811.915831666665</v>
      </c>
      <c r="C213" s="1">
        <v>45812.915831666665</v>
      </c>
      <c r="D213" t="s">
        <v>33</v>
      </c>
      <c r="E213" t="s">
        <v>15</v>
      </c>
      <c r="F213" t="s">
        <v>34</v>
      </c>
      <c r="G213" t="s">
        <v>17</v>
      </c>
      <c r="H213" t="s">
        <v>25</v>
      </c>
      <c r="I213" t="s">
        <v>37</v>
      </c>
      <c r="J213">
        <v>54.29</v>
      </c>
      <c r="K213">
        <v>7</v>
      </c>
      <c r="L213">
        <v>0.15</v>
      </c>
      <c r="M213">
        <v>5.39</v>
      </c>
    </row>
    <row r="214" spans="1:13">
      <c r="A214" t="s">
        <v>263</v>
      </c>
      <c r="B214" s="1">
        <v>45812.645290578701</v>
      </c>
      <c r="C214" s="1">
        <v>45818.645290578701</v>
      </c>
      <c r="D214" t="s">
        <v>33</v>
      </c>
      <c r="E214" t="s">
        <v>15</v>
      </c>
      <c r="F214" t="s">
        <v>16</v>
      </c>
      <c r="G214" t="s">
        <v>35</v>
      </c>
      <c r="H214" t="s">
        <v>49</v>
      </c>
      <c r="I214" t="s">
        <v>47</v>
      </c>
      <c r="J214">
        <v>83.59</v>
      </c>
      <c r="K214">
        <v>4</v>
      </c>
      <c r="L214">
        <v>0.2</v>
      </c>
      <c r="M214">
        <v>11.08</v>
      </c>
    </row>
    <row r="215" spans="1:13">
      <c r="A215" t="s">
        <v>264</v>
      </c>
      <c r="B215" s="1">
        <v>45813.374749502313</v>
      </c>
      <c r="C215" s="1">
        <v>45815.374749502313</v>
      </c>
      <c r="D215" t="s">
        <v>52</v>
      </c>
      <c r="E215" t="s">
        <v>15</v>
      </c>
      <c r="F215" t="s">
        <v>23</v>
      </c>
      <c r="G215" t="s">
        <v>24</v>
      </c>
      <c r="H215" t="s">
        <v>30</v>
      </c>
      <c r="I215" t="s">
        <v>45</v>
      </c>
      <c r="J215">
        <v>1881.14</v>
      </c>
      <c r="K215">
        <v>7</v>
      </c>
      <c r="L215">
        <v>0.15</v>
      </c>
      <c r="M215">
        <v>17.84</v>
      </c>
    </row>
    <row r="216" spans="1:13">
      <c r="A216" t="s">
        <v>265</v>
      </c>
      <c r="B216" s="1">
        <v>45814.104208414348</v>
      </c>
      <c r="C216" s="1">
        <v>45819.104208414348</v>
      </c>
      <c r="D216" t="s">
        <v>33</v>
      </c>
      <c r="E216" t="s">
        <v>42</v>
      </c>
      <c r="F216" t="s">
        <v>34</v>
      </c>
      <c r="G216" t="s">
        <v>29</v>
      </c>
      <c r="H216" t="s">
        <v>18</v>
      </c>
      <c r="I216" t="s">
        <v>95</v>
      </c>
      <c r="J216">
        <v>12.76</v>
      </c>
      <c r="K216">
        <v>2</v>
      </c>
      <c r="L216">
        <v>0.15</v>
      </c>
      <c r="M216">
        <v>1.52</v>
      </c>
    </row>
    <row r="217" spans="1:13">
      <c r="A217" t="s">
        <v>266</v>
      </c>
      <c r="B217" s="1">
        <v>45814.83366733796</v>
      </c>
      <c r="C217" s="1">
        <v>45818.83366733796</v>
      </c>
      <c r="D217" t="s">
        <v>14</v>
      </c>
      <c r="E217" t="s">
        <v>15</v>
      </c>
      <c r="F217" t="s">
        <v>34</v>
      </c>
      <c r="G217" t="s">
        <v>24</v>
      </c>
      <c r="H217" t="s">
        <v>25</v>
      </c>
      <c r="I217" t="s">
        <v>87</v>
      </c>
      <c r="J217">
        <v>87.29</v>
      </c>
      <c r="K217">
        <v>5</v>
      </c>
      <c r="L217">
        <v>0.3</v>
      </c>
      <c r="M217">
        <v>-2.2000000000000002</v>
      </c>
    </row>
    <row r="218" spans="1:13">
      <c r="A218" t="s">
        <v>267</v>
      </c>
      <c r="B218" s="1">
        <v>45815.563126250003</v>
      </c>
      <c r="C218" s="1">
        <v>45817.563126250003</v>
      </c>
      <c r="D218" t="s">
        <v>14</v>
      </c>
      <c r="E218" t="s">
        <v>22</v>
      </c>
      <c r="F218" t="s">
        <v>16</v>
      </c>
      <c r="G218" t="s">
        <v>24</v>
      </c>
      <c r="H218" t="s">
        <v>25</v>
      </c>
      <c r="I218" t="s">
        <v>19</v>
      </c>
      <c r="J218">
        <v>386.26</v>
      </c>
      <c r="K218">
        <v>2</v>
      </c>
      <c r="L218">
        <v>0</v>
      </c>
      <c r="M218">
        <v>40.1</v>
      </c>
    </row>
    <row r="219" spans="1:13">
      <c r="A219" t="s">
        <v>268</v>
      </c>
      <c r="B219" s="1">
        <v>45816.292585173614</v>
      </c>
      <c r="C219" s="1">
        <v>45817.292585173614</v>
      </c>
      <c r="D219" t="s">
        <v>63</v>
      </c>
      <c r="E219" t="s">
        <v>22</v>
      </c>
      <c r="F219" t="s">
        <v>34</v>
      </c>
      <c r="G219" t="s">
        <v>29</v>
      </c>
      <c r="H219" t="s">
        <v>25</v>
      </c>
      <c r="I219" t="s">
        <v>87</v>
      </c>
      <c r="J219">
        <v>81.08</v>
      </c>
      <c r="K219">
        <v>5</v>
      </c>
      <c r="L219">
        <v>0.3</v>
      </c>
      <c r="M219">
        <v>-2.16</v>
      </c>
    </row>
    <row r="220" spans="1:13">
      <c r="A220" t="s">
        <v>269</v>
      </c>
      <c r="B220" s="1">
        <v>45817.02204408565</v>
      </c>
      <c r="C220" s="1">
        <v>45821.02204408565</v>
      </c>
      <c r="D220" t="s">
        <v>14</v>
      </c>
      <c r="E220" t="s">
        <v>15</v>
      </c>
      <c r="F220" t="s">
        <v>16</v>
      </c>
      <c r="G220" t="s">
        <v>29</v>
      </c>
      <c r="H220" t="s">
        <v>44</v>
      </c>
      <c r="I220" t="s">
        <v>60</v>
      </c>
      <c r="J220">
        <v>988.64</v>
      </c>
      <c r="K220">
        <v>2</v>
      </c>
      <c r="L220">
        <v>0.2</v>
      </c>
      <c r="M220">
        <v>129.13</v>
      </c>
    </row>
    <row r="221" spans="1:13">
      <c r="A221" t="s">
        <v>270</v>
      </c>
      <c r="B221" s="1">
        <v>45817.751503009262</v>
      </c>
      <c r="C221" s="1">
        <v>45822.751503009262</v>
      </c>
      <c r="D221" t="s">
        <v>28</v>
      </c>
      <c r="E221" t="s">
        <v>22</v>
      </c>
      <c r="F221" t="s">
        <v>34</v>
      </c>
      <c r="G221" t="s">
        <v>35</v>
      </c>
      <c r="H221" t="s">
        <v>18</v>
      </c>
      <c r="I221" t="s">
        <v>73</v>
      </c>
      <c r="J221">
        <v>66.540000000000006</v>
      </c>
      <c r="K221">
        <v>7</v>
      </c>
      <c r="L221">
        <v>0.2</v>
      </c>
      <c r="M221">
        <v>9.9</v>
      </c>
    </row>
    <row r="222" spans="1:13">
      <c r="A222" t="s">
        <v>271</v>
      </c>
      <c r="B222" s="1">
        <v>45818.480961921297</v>
      </c>
      <c r="C222" s="1">
        <v>45819.480961921297</v>
      </c>
      <c r="D222" t="s">
        <v>33</v>
      </c>
      <c r="E222" t="s">
        <v>22</v>
      </c>
      <c r="F222" t="s">
        <v>16</v>
      </c>
      <c r="G222" t="s">
        <v>17</v>
      </c>
      <c r="H222" t="s">
        <v>36</v>
      </c>
      <c r="I222" t="s">
        <v>60</v>
      </c>
      <c r="J222">
        <v>3536.51</v>
      </c>
      <c r="K222">
        <v>7</v>
      </c>
      <c r="L222">
        <v>0.15</v>
      </c>
      <c r="M222">
        <v>71.88</v>
      </c>
    </row>
    <row r="223" spans="1:13">
      <c r="A223" t="s">
        <v>272</v>
      </c>
      <c r="B223" s="1">
        <v>45819.210420844909</v>
      </c>
      <c r="C223" s="1">
        <v>45822.210420844909</v>
      </c>
      <c r="D223" t="s">
        <v>14</v>
      </c>
      <c r="E223" t="s">
        <v>42</v>
      </c>
      <c r="F223" t="s">
        <v>23</v>
      </c>
      <c r="G223" t="s">
        <v>24</v>
      </c>
      <c r="H223" t="s">
        <v>18</v>
      </c>
      <c r="I223" t="s">
        <v>26</v>
      </c>
      <c r="J223">
        <v>1142.8900000000001</v>
      </c>
      <c r="K223">
        <v>3</v>
      </c>
      <c r="L223">
        <v>0.3</v>
      </c>
      <c r="M223">
        <v>109.82</v>
      </c>
    </row>
    <row r="224" spans="1:13">
      <c r="A224" t="s">
        <v>273</v>
      </c>
      <c r="B224" s="1">
        <v>45819.939879756945</v>
      </c>
      <c r="C224" s="1">
        <v>45820.939879756945</v>
      </c>
      <c r="D224" t="s">
        <v>63</v>
      </c>
      <c r="E224" t="s">
        <v>42</v>
      </c>
      <c r="F224" t="s">
        <v>34</v>
      </c>
      <c r="G224" t="s">
        <v>35</v>
      </c>
      <c r="H224" t="s">
        <v>36</v>
      </c>
      <c r="I224" t="s">
        <v>87</v>
      </c>
      <c r="J224">
        <v>150.44</v>
      </c>
      <c r="K224">
        <v>6</v>
      </c>
      <c r="L224">
        <v>0</v>
      </c>
      <c r="M224">
        <v>33.369999999999997</v>
      </c>
    </row>
    <row r="225" spans="1:13">
      <c r="A225" t="s">
        <v>274</v>
      </c>
      <c r="B225" s="1">
        <v>45820.669338680556</v>
      </c>
      <c r="C225" s="1">
        <v>45826.669338680556</v>
      </c>
      <c r="D225" t="s">
        <v>21</v>
      </c>
      <c r="E225" t="s">
        <v>42</v>
      </c>
      <c r="F225" t="s">
        <v>16</v>
      </c>
      <c r="G225" t="s">
        <v>24</v>
      </c>
      <c r="H225" t="s">
        <v>25</v>
      </c>
      <c r="I225" t="s">
        <v>47</v>
      </c>
      <c r="J225">
        <v>130.22</v>
      </c>
      <c r="K225">
        <v>6</v>
      </c>
      <c r="L225">
        <v>0.05</v>
      </c>
      <c r="M225">
        <v>28.03</v>
      </c>
    </row>
    <row r="226" spans="1:13">
      <c r="A226" t="s">
        <v>275</v>
      </c>
      <c r="B226" s="1">
        <v>45821.398797592592</v>
      </c>
      <c r="C226" s="1">
        <v>45825.398797592592</v>
      </c>
      <c r="D226" t="s">
        <v>21</v>
      </c>
      <c r="E226" t="s">
        <v>15</v>
      </c>
      <c r="F226" t="s">
        <v>16</v>
      </c>
      <c r="G226" t="s">
        <v>29</v>
      </c>
      <c r="H226" t="s">
        <v>39</v>
      </c>
      <c r="I226" t="s">
        <v>64</v>
      </c>
      <c r="J226">
        <v>1287.8599999999999</v>
      </c>
      <c r="K226">
        <v>6</v>
      </c>
      <c r="L226">
        <v>0.1</v>
      </c>
      <c r="M226">
        <v>152.91999999999999</v>
      </c>
    </row>
    <row r="227" spans="1:13">
      <c r="A227" t="s">
        <v>276</v>
      </c>
      <c r="B227" s="1">
        <v>45822.128256516204</v>
      </c>
      <c r="C227" s="1">
        <v>45824.128256516204</v>
      </c>
      <c r="D227" t="s">
        <v>63</v>
      </c>
      <c r="E227" t="s">
        <v>42</v>
      </c>
      <c r="F227" t="s">
        <v>16</v>
      </c>
      <c r="G227" t="s">
        <v>29</v>
      </c>
      <c r="H227" t="s">
        <v>25</v>
      </c>
      <c r="I227" t="s">
        <v>64</v>
      </c>
      <c r="J227">
        <v>1501.81</v>
      </c>
      <c r="K227">
        <v>7</v>
      </c>
      <c r="L227">
        <v>0</v>
      </c>
      <c r="M227">
        <v>238.81</v>
      </c>
    </row>
    <row r="228" spans="1:13">
      <c r="A228" t="s">
        <v>277</v>
      </c>
      <c r="B228" s="1">
        <v>45822.857715428239</v>
      </c>
      <c r="C228" s="1">
        <v>45825.857715428239</v>
      </c>
      <c r="D228" t="s">
        <v>21</v>
      </c>
      <c r="E228" t="s">
        <v>42</v>
      </c>
      <c r="F228" t="s">
        <v>16</v>
      </c>
      <c r="G228" t="s">
        <v>35</v>
      </c>
      <c r="H228" t="s">
        <v>39</v>
      </c>
      <c r="I228" t="s">
        <v>19</v>
      </c>
      <c r="J228">
        <v>775.72</v>
      </c>
      <c r="K228">
        <v>4</v>
      </c>
      <c r="L228">
        <v>0</v>
      </c>
      <c r="M228">
        <v>136.72</v>
      </c>
    </row>
    <row r="229" spans="1:13">
      <c r="A229" t="s">
        <v>278</v>
      </c>
      <c r="B229" s="1">
        <v>45823.587174351851</v>
      </c>
      <c r="C229" s="1">
        <v>45829.587174351851</v>
      </c>
      <c r="D229" t="s">
        <v>52</v>
      </c>
      <c r="E229" t="s">
        <v>15</v>
      </c>
      <c r="F229" t="s">
        <v>34</v>
      </c>
      <c r="G229" t="s">
        <v>35</v>
      </c>
      <c r="H229" t="s">
        <v>25</v>
      </c>
      <c r="I229" t="s">
        <v>73</v>
      </c>
      <c r="J229">
        <v>83.87</v>
      </c>
      <c r="K229">
        <v>7</v>
      </c>
      <c r="L229">
        <v>0.05</v>
      </c>
      <c r="M229">
        <v>10.52</v>
      </c>
    </row>
    <row r="230" spans="1:13">
      <c r="A230" t="s">
        <v>279</v>
      </c>
      <c r="B230" s="1">
        <v>45824.316633263887</v>
      </c>
      <c r="C230" s="1">
        <v>45829.316633263887</v>
      </c>
      <c r="D230" t="s">
        <v>33</v>
      </c>
      <c r="E230" t="s">
        <v>15</v>
      </c>
      <c r="F230" t="s">
        <v>16</v>
      </c>
      <c r="G230" t="s">
        <v>17</v>
      </c>
      <c r="H230" t="s">
        <v>49</v>
      </c>
      <c r="I230" t="s">
        <v>112</v>
      </c>
      <c r="J230">
        <v>32.71</v>
      </c>
      <c r="K230">
        <v>1</v>
      </c>
      <c r="L230">
        <v>0.2</v>
      </c>
      <c r="M230">
        <v>0.64</v>
      </c>
    </row>
    <row r="231" spans="1:13">
      <c r="A231" t="s">
        <v>280</v>
      </c>
      <c r="B231" s="1">
        <v>45825.046092187498</v>
      </c>
      <c r="C231" s="1">
        <v>45830.046092187498</v>
      </c>
      <c r="D231" t="s">
        <v>63</v>
      </c>
      <c r="E231" t="s">
        <v>15</v>
      </c>
      <c r="F231" t="s">
        <v>34</v>
      </c>
      <c r="G231" t="s">
        <v>35</v>
      </c>
      <c r="H231" t="s">
        <v>30</v>
      </c>
      <c r="I231" t="s">
        <v>37</v>
      </c>
      <c r="J231">
        <v>58.61</v>
      </c>
      <c r="K231">
        <v>7</v>
      </c>
      <c r="L231">
        <v>0.2</v>
      </c>
      <c r="M231">
        <v>5.13</v>
      </c>
    </row>
    <row r="232" spans="1:13">
      <c r="A232" t="s">
        <v>281</v>
      </c>
      <c r="B232" s="1">
        <v>45825.775551099534</v>
      </c>
      <c r="C232" s="1">
        <v>45827.775551099534</v>
      </c>
      <c r="D232" t="s">
        <v>21</v>
      </c>
      <c r="E232" t="s">
        <v>22</v>
      </c>
      <c r="F232" t="s">
        <v>23</v>
      </c>
      <c r="G232" t="s">
        <v>17</v>
      </c>
      <c r="H232" t="s">
        <v>18</v>
      </c>
      <c r="I232" t="s">
        <v>31</v>
      </c>
      <c r="J232">
        <v>788.93</v>
      </c>
      <c r="K232">
        <v>6</v>
      </c>
      <c r="L232">
        <v>0.2</v>
      </c>
      <c r="M232">
        <v>100.2</v>
      </c>
    </row>
    <row r="233" spans="1:13">
      <c r="A233" t="s">
        <v>282</v>
      </c>
      <c r="B233" s="1">
        <v>45826.505010023146</v>
      </c>
      <c r="C233" s="1">
        <v>45827.505010023146</v>
      </c>
      <c r="D233" t="s">
        <v>21</v>
      </c>
      <c r="E233" t="s">
        <v>22</v>
      </c>
      <c r="F233" t="s">
        <v>34</v>
      </c>
      <c r="G233" t="s">
        <v>17</v>
      </c>
      <c r="H233" t="s">
        <v>30</v>
      </c>
      <c r="I233" t="s">
        <v>40</v>
      </c>
      <c r="J233">
        <v>129.12</v>
      </c>
      <c r="K233">
        <v>8</v>
      </c>
      <c r="L233">
        <v>0</v>
      </c>
      <c r="M233">
        <v>23.03</v>
      </c>
    </row>
    <row r="234" spans="1:13">
      <c r="A234" t="s">
        <v>283</v>
      </c>
      <c r="B234" s="1">
        <v>45827.234468935188</v>
      </c>
      <c r="C234" s="1">
        <v>45833.234468935188</v>
      </c>
      <c r="D234" t="s">
        <v>21</v>
      </c>
      <c r="E234" t="s">
        <v>42</v>
      </c>
      <c r="F234" t="s">
        <v>23</v>
      </c>
      <c r="G234" t="s">
        <v>29</v>
      </c>
      <c r="H234" t="s">
        <v>30</v>
      </c>
      <c r="I234" t="s">
        <v>55</v>
      </c>
      <c r="J234">
        <v>281.10000000000002</v>
      </c>
      <c r="K234">
        <v>2</v>
      </c>
      <c r="L234">
        <v>0.05</v>
      </c>
      <c r="M234">
        <v>39.99</v>
      </c>
    </row>
    <row r="235" spans="1:13">
      <c r="A235" t="s">
        <v>284</v>
      </c>
      <c r="B235" s="1">
        <v>45827.963927858793</v>
      </c>
      <c r="C235" s="1">
        <v>45833.963927858793</v>
      </c>
      <c r="D235" t="s">
        <v>14</v>
      </c>
      <c r="E235" t="s">
        <v>22</v>
      </c>
      <c r="F235" t="s">
        <v>34</v>
      </c>
      <c r="G235" t="s">
        <v>29</v>
      </c>
      <c r="H235" t="s">
        <v>25</v>
      </c>
      <c r="I235" t="s">
        <v>73</v>
      </c>
      <c r="J235">
        <v>21.13</v>
      </c>
      <c r="K235">
        <v>2</v>
      </c>
      <c r="L235">
        <v>0.15</v>
      </c>
      <c r="M235">
        <v>3.03</v>
      </c>
    </row>
    <row r="236" spans="1:13">
      <c r="A236" t="s">
        <v>285</v>
      </c>
      <c r="B236" s="1">
        <v>45828.693386770836</v>
      </c>
      <c r="C236" s="1">
        <v>45834.693386770836</v>
      </c>
      <c r="D236" t="s">
        <v>33</v>
      </c>
      <c r="E236" t="s">
        <v>42</v>
      </c>
      <c r="F236" t="s">
        <v>23</v>
      </c>
      <c r="G236" t="s">
        <v>17</v>
      </c>
      <c r="H236" t="s">
        <v>39</v>
      </c>
      <c r="I236" t="s">
        <v>26</v>
      </c>
      <c r="J236">
        <v>1603.85</v>
      </c>
      <c r="K236">
        <v>4</v>
      </c>
      <c r="L236">
        <v>0.15</v>
      </c>
      <c r="M236">
        <v>51.82</v>
      </c>
    </row>
    <row r="237" spans="1:13">
      <c r="A237" t="s">
        <v>286</v>
      </c>
      <c r="B237" s="1">
        <v>45829.422845694447</v>
      </c>
      <c r="C237" s="1">
        <v>45833.422845694447</v>
      </c>
      <c r="D237" t="s">
        <v>33</v>
      </c>
      <c r="E237" t="s">
        <v>42</v>
      </c>
      <c r="F237" t="s">
        <v>16</v>
      </c>
      <c r="G237" t="s">
        <v>35</v>
      </c>
      <c r="H237" t="s">
        <v>44</v>
      </c>
      <c r="I237" t="s">
        <v>47</v>
      </c>
      <c r="J237">
        <v>78.08</v>
      </c>
      <c r="K237">
        <v>4</v>
      </c>
      <c r="L237">
        <v>0.15</v>
      </c>
      <c r="M237">
        <v>8.85</v>
      </c>
    </row>
    <row r="238" spans="1:13">
      <c r="A238" t="s">
        <v>287</v>
      </c>
      <c r="B238" s="1">
        <v>45830.152304606483</v>
      </c>
      <c r="C238" s="1">
        <v>45836.152304606483</v>
      </c>
      <c r="D238" t="s">
        <v>21</v>
      </c>
      <c r="E238" t="s">
        <v>15</v>
      </c>
      <c r="F238" t="s">
        <v>16</v>
      </c>
      <c r="G238" t="s">
        <v>35</v>
      </c>
      <c r="H238" t="s">
        <v>25</v>
      </c>
      <c r="I238" t="s">
        <v>64</v>
      </c>
      <c r="J238">
        <v>1191.92</v>
      </c>
      <c r="K238">
        <v>7</v>
      </c>
      <c r="L238">
        <v>0.15</v>
      </c>
      <c r="M238">
        <v>113.34</v>
      </c>
    </row>
    <row r="239" spans="1:13">
      <c r="A239" t="s">
        <v>288</v>
      </c>
      <c r="B239" s="1">
        <v>45830.881763530095</v>
      </c>
      <c r="C239" s="1">
        <v>45836.881763530095</v>
      </c>
      <c r="D239" t="s">
        <v>21</v>
      </c>
      <c r="E239" t="s">
        <v>42</v>
      </c>
      <c r="F239" t="s">
        <v>34</v>
      </c>
      <c r="G239" t="s">
        <v>24</v>
      </c>
      <c r="H239" t="s">
        <v>39</v>
      </c>
      <c r="I239" t="s">
        <v>73</v>
      </c>
      <c r="J239">
        <v>76.58</v>
      </c>
      <c r="K239">
        <v>7</v>
      </c>
      <c r="L239">
        <v>0</v>
      </c>
      <c r="M239">
        <v>9.1999999999999993</v>
      </c>
    </row>
    <row r="240" spans="1:13">
      <c r="A240" t="s">
        <v>289</v>
      </c>
      <c r="B240" s="1">
        <v>45831.61122244213</v>
      </c>
      <c r="C240" s="1">
        <v>45832.61122244213</v>
      </c>
      <c r="D240" t="s">
        <v>21</v>
      </c>
      <c r="E240" t="s">
        <v>15</v>
      </c>
      <c r="F240" t="s">
        <v>34</v>
      </c>
      <c r="G240" t="s">
        <v>17</v>
      </c>
      <c r="H240" t="s">
        <v>53</v>
      </c>
      <c r="I240" t="s">
        <v>37</v>
      </c>
      <c r="J240">
        <v>70.260000000000005</v>
      </c>
      <c r="K240">
        <v>8</v>
      </c>
      <c r="L240">
        <v>0.05</v>
      </c>
      <c r="M240">
        <v>12.29</v>
      </c>
    </row>
    <row r="241" spans="1:13">
      <c r="A241" t="s">
        <v>290</v>
      </c>
      <c r="B241" s="1">
        <v>45832.340681365742</v>
      </c>
      <c r="C241" s="1">
        <v>45833.340681365742</v>
      </c>
      <c r="D241" t="s">
        <v>52</v>
      </c>
      <c r="E241" t="s">
        <v>15</v>
      </c>
      <c r="F241" t="s">
        <v>23</v>
      </c>
      <c r="G241" t="s">
        <v>35</v>
      </c>
      <c r="H241" t="s">
        <v>39</v>
      </c>
      <c r="I241" t="s">
        <v>55</v>
      </c>
      <c r="J241">
        <v>745.42</v>
      </c>
      <c r="K241">
        <v>7</v>
      </c>
      <c r="L241">
        <v>0.3</v>
      </c>
      <c r="M241">
        <v>52.67</v>
      </c>
    </row>
    <row r="242" spans="1:13">
      <c r="A242" t="s">
        <v>291</v>
      </c>
      <c r="B242" s="1">
        <v>45833.070140277778</v>
      </c>
      <c r="C242" s="1">
        <v>45834.070140277778</v>
      </c>
      <c r="D242" t="s">
        <v>28</v>
      </c>
      <c r="E242" t="s">
        <v>22</v>
      </c>
      <c r="F242" t="s">
        <v>23</v>
      </c>
      <c r="G242" t="s">
        <v>29</v>
      </c>
      <c r="H242" t="s">
        <v>36</v>
      </c>
      <c r="I242" t="s">
        <v>45</v>
      </c>
      <c r="J242">
        <v>1156.3900000000001</v>
      </c>
      <c r="K242">
        <v>4</v>
      </c>
      <c r="L242">
        <v>0.05</v>
      </c>
      <c r="M242">
        <v>171.49</v>
      </c>
    </row>
    <row r="243" spans="1:13">
      <c r="A243" t="s">
        <v>292</v>
      </c>
      <c r="B243" s="1">
        <v>45833.799599201389</v>
      </c>
      <c r="C243" s="1">
        <v>45836.799599201389</v>
      </c>
      <c r="D243" t="s">
        <v>33</v>
      </c>
      <c r="E243" t="s">
        <v>15</v>
      </c>
      <c r="F243" t="s">
        <v>16</v>
      </c>
      <c r="G243" t="s">
        <v>24</v>
      </c>
      <c r="H243" t="s">
        <v>49</v>
      </c>
      <c r="I243" t="s">
        <v>112</v>
      </c>
      <c r="J243">
        <v>41.2</v>
      </c>
      <c r="K243">
        <v>1</v>
      </c>
      <c r="L243">
        <v>0.1</v>
      </c>
      <c r="M243">
        <v>6.2</v>
      </c>
    </row>
    <row r="244" spans="1:13">
      <c r="A244" t="s">
        <v>293</v>
      </c>
      <c r="B244" s="1">
        <v>45834.529058113425</v>
      </c>
      <c r="C244" s="1">
        <v>45839.529058113425</v>
      </c>
      <c r="D244" t="s">
        <v>21</v>
      </c>
      <c r="E244" t="s">
        <v>22</v>
      </c>
      <c r="F244" t="s">
        <v>16</v>
      </c>
      <c r="G244" t="s">
        <v>17</v>
      </c>
      <c r="H244" t="s">
        <v>30</v>
      </c>
      <c r="I244" t="s">
        <v>64</v>
      </c>
      <c r="J244">
        <v>622.20000000000005</v>
      </c>
      <c r="K244">
        <v>3</v>
      </c>
      <c r="L244">
        <v>0.05</v>
      </c>
      <c r="M244">
        <v>80.3</v>
      </c>
    </row>
    <row r="245" spans="1:13">
      <c r="A245" t="s">
        <v>294</v>
      </c>
      <c r="B245" s="1">
        <v>45835.258517037037</v>
      </c>
      <c r="C245" s="1">
        <v>45839.258517037037</v>
      </c>
      <c r="D245" t="s">
        <v>52</v>
      </c>
      <c r="E245" t="s">
        <v>22</v>
      </c>
      <c r="F245" t="s">
        <v>23</v>
      </c>
      <c r="G245" t="s">
        <v>29</v>
      </c>
      <c r="H245" t="s">
        <v>30</v>
      </c>
      <c r="I245" t="s">
        <v>45</v>
      </c>
      <c r="J245">
        <v>1817.56</v>
      </c>
      <c r="K245">
        <v>7</v>
      </c>
      <c r="L245">
        <v>0.2</v>
      </c>
      <c r="M245">
        <v>237.08</v>
      </c>
    </row>
    <row r="246" spans="1:13">
      <c r="A246" t="s">
        <v>295</v>
      </c>
      <c r="B246" s="1">
        <v>45835.987975949072</v>
      </c>
      <c r="C246" s="1">
        <v>45841.987975949072</v>
      </c>
      <c r="D246" t="s">
        <v>28</v>
      </c>
      <c r="E246" t="s">
        <v>42</v>
      </c>
      <c r="F246" t="s">
        <v>23</v>
      </c>
      <c r="G246" t="s">
        <v>29</v>
      </c>
      <c r="H246" t="s">
        <v>30</v>
      </c>
      <c r="I246" t="s">
        <v>26</v>
      </c>
      <c r="J246">
        <v>438.34</v>
      </c>
      <c r="K246">
        <v>1</v>
      </c>
      <c r="L246">
        <v>0.15</v>
      </c>
      <c r="M246">
        <v>78.77</v>
      </c>
    </row>
    <row r="247" spans="1:13">
      <c r="A247" t="s">
        <v>296</v>
      </c>
      <c r="B247" s="1">
        <v>45836.717434872684</v>
      </c>
      <c r="C247" s="1">
        <v>45842.717434872684</v>
      </c>
      <c r="D247" t="s">
        <v>21</v>
      </c>
      <c r="E247" t="s">
        <v>22</v>
      </c>
      <c r="F247" t="s">
        <v>16</v>
      </c>
      <c r="G247" t="s">
        <v>24</v>
      </c>
      <c r="H247" t="s">
        <v>30</v>
      </c>
      <c r="I247" t="s">
        <v>112</v>
      </c>
      <c r="J247">
        <v>239.38</v>
      </c>
      <c r="K247">
        <v>7</v>
      </c>
      <c r="L247">
        <v>0.2</v>
      </c>
      <c r="M247">
        <v>9.32</v>
      </c>
    </row>
    <row r="248" spans="1:13">
      <c r="A248" t="s">
        <v>297</v>
      </c>
      <c r="B248" s="1">
        <v>45837.44689378472</v>
      </c>
      <c r="C248" s="1">
        <v>45838.44689378472</v>
      </c>
      <c r="D248" t="s">
        <v>33</v>
      </c>
      <c r="E248" t="s">
        <v>42</v>
      </c>
      <c r="F248" t="s">
        <v>16</v>
      </c>
      <c r="G248" t="s">
        <v>24</v>
      </c>
      <c r="H248" t="s">
        <v>49</v>
      </c>
      <c r="I248" t="s">
        <v>19</v>
      </c>
      <c r="J248">
        <v>657.02</v>
      </c>
      <c r="K248">
        <v>4</v>
      </c>
      <c r="L248">
        <v>0</v>
      </c>
      <c r="M248">
        <v>146.62</v>
      </c>
    </row>
    <row r="249" spans="1:13">
      <c r="A249" t="s">
        <v>298</v>
      </c>
      <c r="B249" s="1">
        <v>45838.176352708331</v>
      </c>
      <c r="C249" s="1">
        <v>45843.176352708331</v>
      </c>
      <c r="D249" t="s">
        <v>21</v>
      </c>
      <c r="E249" t="s">
        <v>42</v>
      </c>
      <c r="F249" t="s">
        <v>16</v>
      </c>
      <c r="G249" t="s">
        <v>17</v>
      </c>
      <c r="H249" t="s">
        <v>44</v>
      </c>
      <c r="I249" t="s">
        <v>64</v>
      </c>
      <c r="J249">
        <v>1730.8</v>
      </c>
      <c r="K249">
        <v>8</v>
      </c>
      <c r="L249">
        <v>0.1</v>
      </c>
      <c r="M249">
        <v>217.79</v>
      </c>
    </row>
    <row r="250" spans="1:13">
      <c r="A250" t="s">
        <v>299</v>
      </c>
      <c r="B250" s="1">
        <v>45838.905811620367</v>
      </c>
      <c r="C250" s="1">
        <v>45840.905811620367</v>
      </c>
      <c r="D250" t="s">
        <v>33</v>
      </c>
      <c r="E250" t="s">
        <v>22</v>
      </c>
      <c r="F250" t="s">
        <v>16</v>
      </c>
      <c r="G250" t="s">
        <v>35</v>
      </c>
      <c r="H250" t="s">
        <v>49</v>
      </c>
      <c r="I250" t="s">
        <v>60</v>
      </c>
      <c r="J250">
        <v>2164.2199999999998</v>
      </c>
      <c r="K250">
        <v>5</v>
      </c>
      <c r="L250">
        <v>0.3</v>
      </c>
      <c r="M250">
        <v>157.44999999999999</v>
      </c>
    </row>
    <row r="251" spans="1:13">
      <c r="A251" t="s">
        <v>300</v>
      </c>
      <c r="B251" s="1">
        <v>45839.635270543979</v>
      </c>
      <c r="C251" s="1">
        <v>45841.635270543979</v>
      </c>
      <c r="D251" t="s">
        <v>63</v>
      </c>
      <c r="E251" t="s">
        <v>15</v>
      </c>
      <c r="F251" t="s">
        <v>34</v>
      </c>
      <c r="G251" t="s">
        <v>29</v>
      </c>
      <c r="H251" t="s">
        <v>39</v>
      </c>
      <c r="I251" t="s">
        <v>40</v>
      </c>
      <c r="J251">
        <v>13.57</v>
      </c>
      <c r="K251">
        <v>1</v>
      </c>
      <c r="L251">
        <v>0</v>
      </c>
      <c r="M251">
        <v>2.57</v>
      </c>
    </row>
    <row r="252" spans="1:13">
      <c r="A252" t="s">
        <v>301</v>
      </c>
      <c r="B252" s="1">
        <v>45840.364729456021</v>
      </c>
      <c r="C252" s="1">
        <v>45846.364729456021</v>
      </c>
      <c r="D252" t="s">
        <v>63</v>
      </c>
      <c r="E252" t="s">
        <v>22</v>
      </c>
      <c r="F252" t="s">
        <v>23</v>
      </c>
      <c r="G252" t="s">
        <v>29</v>
      </c>
      <c r="H252" t="s">
        <v>30</v>
      </c>
      <c r="I252" t="s">
        <v>26</v>
      </c>
      <c r="J252">
        <v>2329.39</v>
      </c>
      <c r="K252">
        <v>5</v>
      </c>
      <c r="L252">
        <v>0.05</v>
      </c>
      <c r="M252">
        <v>326.48</v>
      </c>
    </row>
    <row r="253" spans="1:13">
      <c r="A253" t="s">
        <v>302</v>
      </c>
      <c r="B253" s="1">
        <v>45841.094188379633</v>
      </c>
      <c r="C253" s="1">
        <v>45842.094188379633</v>
      </c>
      <c r="D253" t="s">
        <v>21</v>
      </c>
      <c r="E253" t="s">
        <v>42</v>
      </c>
      <c r="F253" t="s">
        <v>16</v>
      </c>
      <c r="G253" t="s">
        <v>29</v>
      </c>
      <c r="H253" t="s">
        <v>44</v>
      </c>
      <c r="I253" t="s">
        <v>64</v>
      </c>
      <c r="J253">
        <v>183.78</v>
      </c>
      <c r="K253">
        <v>1</v>
      </c>
      <c r="L253">
        <v>0.1</v>
      </c>
      <c r="M253">
        <v>26.57</v>
      </c>
    </row>
    <row r="254" spans="1:13">
      <c r="A254" t="s">
        <v>303</v>
      </c>
      <c r="B254" s="1">
        <v>45841.823647291669</v>
      </c>
      <c r="C254" s="1">
        <v>45845.823647291669</v>
      </c>
      <c r="D254" t="s">
        <v>14</v>
      </c>
      <c r="E254" t="s">
        <v>42</v>
      </c>
      <c r="F254" t="s">
        <v>23</v>
      </c>
      <c r="G254" t="s">
        <v>35</v>
      </c>
      <c r="H254" t="s">
        <v>44</v>
      </c>
      <c r="I254" t="s">
        <v>31</v>
      </c>
      <c r="J254">
        <v>919.75</v>
      </c>
      <c r="K254">
        <v>7</v>
      </c>
      <c r="L254">
        <v>0.1</v>
      </c>
      <c r="M254">
        <v>107.84</v>
      </c>
    </row>
    <row r="255" spans="1:13">
      <c r="A255" t="s">
        <v>304</v>
      </c>
      <c r="B255" s="1">
        <v>45842.55310621528</v>
      </c>
      <c r="C255" s="1">
        <v>45846.55310621528</v>
      </c>
      <c r="D255" t="s">
        <v>52</v>
      </c>
      <c r="E255" t="s">
        <v>42</v>
      </c>
      <c r="F255" t="s">
        <v>34</v>
      </c>
      <c r="G255" t="s">
        <v>35</v>
      </c>
      <c r="H255" t="s">
        <v>44</v>
      </c>
      <c r="I255" t="s">
        <v>73</v>
      </c>
      <c r="J255">
        <v>97.99</v>
      </c>
      <c r="K255">
        <v>8</v>
      </c>
      <c r="L255">
        <v>0.05</v>
      </c>
      <c r="M255">
        <v>13.77</v>
      </c>
    </row>
    <row r="256" spans="1:13">
      <c r="A256" t="s">
        <v>305</v>
      </c>
      <c r="B256" s="1">
        <v>45843.282565127316</v>
      </c>
      <c r="C256" s="1">
        <v>45847.282565127316</v>
      </c>
      <c r="D256" t="s">
        <v>21</v>
      </c>
      <c r="E256" t="s">
        <v>22</v>
      </c>
      <c r="F256" t="s">
        <v>16</v>
      </c>
      <c r="G256" t="s">
        <v>35</v>
      </c>
      <c r="H256" t="s">
        <v>36</v>
      </c>
      <c r="I256" t="s">
        <v>47</v>
      </c>
      <c r="J256">
        <v>103.49</v>
      </c>
      <c r="K256">
        <v>4</v>
      </c>
      <c r="L256">
        <v>0.05</v>
      </c>
      <c r="M256">
        <v>14.83</v>
      </c>
    </row>
    <row r="257" spans="1:13">
      <c r="A257" t="s">
        <v>306</v>
      </c>
      <c r="B257" s="1">
        <v>45844.012024050928</v>
      </c>
      <c r="C257" s="1">
        <v>45848.012024050928</v>
      </c>
      <c r="D257" t="s">
        <v>63</v>
      </c>
      <c r="E257" t="s">
        <v>15</v>
      </c>
      <c r="F257" t="s">
        <v>16</v>
      </c>
      <c r="G257" t="s">
        <v>29</v>
      </c>
      <c r="H257" t="s">
        <v>49</v>
      </c>
      <c r="I257" t="s">
        <v>112</v>
      </c>
      <c r="J257">
        <v>334.53</v>
      </c>
      <c r="K257">
        <v>8</v>
      </c>
      <c r="L257">
        <v>0.05</v>
      </c>
      <c r="M257">
        <v>62.29</v>
      </c>
    </row>
    <row r="258" spans="1:13">
      <c r="A258" t="s">
        <v>307</v>
      </c>
      <c r="B258" s="1">
        <v>45844.741482962963</v>
      </c>
      <c r="C258" s="1">
        <v>45848.741482962963</v>
      </c>
      <c r="D258" t="s">
        <v>63</v>
      </c>
      <c r="E258" t="s">
        <v>22</v>
      </c>
      <c r="F258" t="s">
        <v>34</v>
      </c>
      <c r="G258" t="s">
        <v>24</v>
      </c>
      <c r="H258" t="s">
        <v>44</v>
      </c>
      <c r="I258" t="s">
        <v>37</v>
      </c>
      <c r="J258">
        <v>30.14</v>
      </c>
      <c r="K258">
        <v>3</v>
      </c>
      <c r="L258">
        <v>0</v>
      </c>
      <c r="M258">
        <v>3.37</v>
      </c>
    </row>
    <row r="259" spans="1:13">
      <c r="A259" t="s">
        <v>308</v>
      </c>
      <c r="B259" s="1">
        <v>45845.470941886575</v>
      </c>
      <c r="C259" s="1">
        <v>45848.470941886575</v>
      </c>
      <c r="D259" t="s">
        <v>33</v>
      </c>
      <c r="E259" t="s">
        <v>15</v>
      </c>
      <c r="F259" t="s">
        <v>34</v>
      </c>
      <c r="G259" t="s">
        <v>35</v>
      </c>
      <c r="H259" t="s">
        <v>36</v>
      </c>
      <c r="I259" t="s">
        <v>87</v>
      </c>
      <c r="J259">
        <v>45.52</v>
      </c>
      <c r="K259">
        <v>2</v>
      </c>
      <c r="L259">
        <v>0.1</v>
      </c>
      <c r="M259">
        <v>2.5</v>
      </c>
    </row>
    <row r="260" spans="1:13">
      <c r="A260" t="s">
        <v>309</v>
      </c>
      <c r="B260" s="1">
        <v>45846.200400798611</v>
      </c>
      <c r="C260" s="1">
        <v>45850.200400798611</v>
      </c>
      <c r="D260" t="s">
        <v>14</v>
      </c>
      <c r="E260" t="s">
        <v>22</v>
      </c>
      <c r="F260" t="s">
        <v>16</v>
      </c>
      <c r="G260" t="s">
        <v>17</v>
      </c>
      <c r="H260" t="s">
        <v>30</v>
      </c>
      <c r="I260" t="s">
        <v>60</v>
      </c>
      <c r="J260">
        <v>2435.8000000000002</v>
      </c>
      <c r="K260">
        <v>4</v>
      </c>
      <c r="L260">
        <v>0</v>
      </c>
      <c r="M260">
        <v>538.11</v>
      </c>
    </row>
    <row r="261" spans="1:13">
      <c r="A261" t="s">
        <v>310</v>
      </c>
      <c r="B261" s="1">
        <v>45846.929859722222</v>
      </c>
      <c r="C261" s="1">
        <v>45847.929859722222</v>
      </c>
      <c r="D261" t="s">
        <v>33</v>
      </c>
      <c r="E261" t="s">
        <v>15</v>
      </c>
      <c r="F261" t="s">
        <v>23</v>
      </c>
      <c r="G261" t="s">
        <v>24</v>
      </c>
      <c r="H261" t="s">
        <v>18</v>
      </c>
      <c r="I261" t="s">
        <v>45</v>
      </c>
      <c r="J261">
        <v>763.72</v>
      </c>
      <c r="K261">
        <v>3</v>
      </c>
      <c r="L261">
        <v>0.2</v>
      </c>
      <c r="M261">
        <v>61.81</v>
      </c>
    </row>
    <row r="262" spans="1:13">
      <c r="A262" t="s">
        <v>311</v>
      </c>
      <c r="B262" s="1">
        <v>45847.659318634258</v>
      </c>
      <c r="C262" s="1">
        <v>45850.659318634258</v>
      </c>
      <c r="D262" t="s">
        <v>33</v>
      </c>
      <c r="E262" t="s">
        <v>22</v>
      </c>
      <c r="F262" t="s">
        <v>34</v>
      </c>
      <c r="G262" t="s">
        <v>35</v>
      </c>
      <c r="H262" t="s">
        <v>53</v>
      </c>
      <c r="I262" t="s">
        <v>87</v>
      </c>
      <c r="J262">
        <v>76.72</v>
      </c>
      <c r="K262">
        <v>4</v>
      </c>
      <c r="L262">
        <v>0.3</v>
      </c>
      <c r="M262">
        <v>5.61</v>
      </c>
    </row>
    <row r="263" spans="1:13">
      <c r="A263" t="s">
        <v>312</v>
      </c>
      <c r="B263" s="1">
        <v>45848.38877755787</v>
      </c>
      <c r="C263" s="1">
        <v>45852.38877755787</v>
      </c>
      <c r="D263" t="s">
        <v>33</v>
      </c>
      <c r="E263" t="s">
        <v>22</v>
      </c>
      <c r="F263" t="s">
        <v>16</v>
      </c>
      <c r="G263" t="s">
        <v>17</v>
      </c>
      <c r="H263" t="s">
        <v>30</v>
      </c>
      <c r="I263" t="s">
        <v>47</v>
      </c>
      <c r="J263">
        <v>48.79</v>
      </c>
      <c r="K263">
        <v>2</v>
      </c>
      <c r="L263">
        <v>0</v>
      </c>
      <c r="M263">
        <v>11.48</v>
      </c>
    </row>
    <row r="264" spans="1:13">
      <c r="A264" t="s">
        <v>313</v>
      </c>
      <c r="B264" s="1">
        <v>45849.118236469905</v>
      </c>
      <c r="C264" s="1">
        <v>45853.118236469905</v>
      </c>
      <c r="D264" t="s">
        <v>63</v>
      </c>
      <c r="E264" t="s">
        <v>22</v>
      </c>
      <c r="F264" t="s">
        <v>23</v>
      </c>
      <c r="G264" t="s">
        <v>17</v>
      </c>
      <c r="H264" t="s">
        <v>36</v>
      </c>
      <c r="I264" t="s">
        <v>55</v>
      </c>
      <c r="J264">
        <v>528.92999999999995</v>
      </c>
      <c r="K264">
        <v>4</v>
      </c>
      <c r="L264">
        <v>0.05</v>
      </c>
      <c r="M264">
        <v>100.71</v>
      </c>
    </row>
    <row r="265" spans="1:13">
      <c r="A265" t="s">
        <v>314</v>
      </c>
      <c r="B265" s="1">
        <v>45849.847695393517</v>
      </c>
      <c r="C265" s="1">
        <v>45851.847695393517</v>
      </c>
      <c r="D265" t="s">
        <v>52</v>
      </c>
      <c r="E265" t="s">
        <v>22</v>
      </c>
      <c r="F265" t="s">
        <v>34</v>
      </c>
      <c r="G265" t="s">
        <v>24</v>
      </c>
      <c r="H265" t="s">
        <v>49</v>
      </c>
      <c r="I265" t="s">
        <v>40</v>
      </c>
      <c r="J265">
        <v>51.24</v>
      </c>
      <c r="K265">
        <v>4</v>
      </c>
      <c r="L265">
        <v>0.1</v>
      </c>
      <c r="M265">
        <v>2.3199999999999998</v>
      </c>
    </row>
    <row r="266" spans="1:13">
      <c r="A266" t="s">
        <v>315</v>
      </c>
      <c r="B266" s="1">
        <v>45850.577154305553</v>
      </c>
      <c r="C266" s="1">
        <v>45856.577154305553</v>
      </c>
      <c r="D266" t="s">
        <v>63</v>
      </c>
      <c r="E266" t="s">
        <v>22</v>
      </c>
      <c r="F266" t="s">
        <v>16</v>
      </c>
      <c r="G266" t="s">
        <v>17</v>
      </c>
      <c r="H266" t="s">
        <v>49</v>
      </c>
      <c r="I266" t="s">
        <v>60</v>
      </c>
      <c r="J266">
        <v>1842.34</v>
      </c>
      <c r="K266">
        <v>3</v>
      </c>
      <c r="L266">
        <v>0.1</v>
      </c>
      <c r="M266">
        <v>261.99</v>
      </c>
    </row>
    <row r="267" spans="1:13">
      <c r="A267" t="s">
        <v>316</v>
      </c>
      <c r="B267" s="1">
        <v>45851.306613229164</v>
      </c>
      <c r="C267" s="1">
        <v>45854.306613229164</v>
      </c>
      <c r="D267" t="s">
        <v>28</v>
      </c>
      <c r="E267" t="s">
        <v>15</v>
      </c>
      <c r="F267" t="s">
        <v>34</v>
      </c>
      <c r="G267" t="s">
        <v>35</v>
      </c>
      <c r="H267" t="s">
        <v>30</v>
      </c>
      <c r="I267" t="s">
        <v>37</v>
      </c>
      <c r="J267">
        <v>31.44</v>
      </c>
      <c r="K267">
        <v>3</v>
      </c>
      <c r="L267">
        <v>0</v>
      </c>
      <c r="M267">
        <v>2.4900000000000002</v>
      </c>
    </row>
    <row r="268" spans="1:13">
      <c r="A268" t="s">
        <v>317</v>
      </c>
      <c r="B268" s="1">
        <v>45852.036072141207</v>
      </c>
      <c r="C268" s="1">
        <v>45856.036072141207</v>
      </c>
      <c r="D268" t="s">
        <v>21</v>
      </c>
      <c r="E268" t="s">
        <v>22</v>
      </c>
      <c r="F268" t="s">
        <v>34</v>
      </c>
      <c r="G268" t="s">
        <v>35</v>
      </c>
      <c r="H268" t="s">
        <v>30</v>
      </c>
      <c r="I268" t="s">
        <v>40</v>
      </c>
      <c r="J268">
        <v>11.47</v>
      </c>
      <c r="K268">
        <v>1</v>
      </c>
      <c r="L268">
        <v>0.2</v>
      </c>
      <c r="M268">
        <v>1.21</v>
      </c>
    </row>
    <row r="269" spans="1:13">
      <c r="A269" t="s">
        <v>318</v>
      </c>
      <c r="B269" s="1">
        <v>45852.765531064812</v>
      </c>
      <c r="C269" s="1">
        <v>45856.765531064812</v>
      </c>
      <c r="D269" t="s">
        <v>28</v>
      </c>
      <c r="E269" t="s">
        <v>22</v>
      </c>
      <c r="F269" t="s">
        <v>16</v>
      </c>
      <c r="G269" t="s">
        <v>35</v>
      </c>
      <c r="H269" t="s">
        <v>53</v>
      </c>
      <c r="I269" t="s">
        <v>19</v>
      </c>
      <c r="J269">
        <v>450.58</v>
      </c>
      <c r="K269">
        <v>3</v>
      </c>
      <c r="L269">
        <v>0.15</v>
      </c>
      <c r="M269">
        <v>64.959999999999994</v>
      </c>
    </row>
    <row r="270" spans="1:13">
      <c r="A270" t="s">
        <v>319</v>
      </c>
      <c r="B270" s="1">
        <v>45853.494989976854</v>
      </c>
      <c r="C270" s="1">
        <v>45856.494989976854</v>
      </c>
      <c r="D270" t="s">
        <v>14</v>
      </c>
      <c r="E270" t="s">
        <v>42</v>
      </c>
      <c r="F270" t="s">
        <v>34</v>
      </c>
      <c r="G270" t="s">
        <v>17</v>
      </c>
      <c r="H270" t="s">
        <v>30</v>
      </c>
      <c r="I270" t="s">
        <v>95</v>
      </c>
      <c r="J270">
        <v>57.53</v>
      </c>
      <c r="K270">
        <v>7</v>
      </c>
      <c r="L270">
        <v>0.05</v>
      </c>
      <c r="M270">
        <v>9.39</v>
      </c>
    </row>
    <row r="271" spans="1:13">
      <c r="A271" t="s">
        <v>320</v>
      </c>
      <c r="B271" s="1">
        <v>45854.224448900466</v>
      </c>
      <c r="C271" s="1">
        <v>45860.224448900466</v>
      </c>
      <c r="D271" t="s">
        <v>14</v>
      </c>
      <c r="E271" t="s">
        <v>22</v>
      </c>
      <c r="F271" t="s">
        <v>23</v>
      </c>
      <c r="G271" t="s">
        <v>24</v>
      </c>
      <c r="H271" t="s">
        <v>44</v>
      </c>
      <c r="I271" t="s">
        <v>26</v>
      </c>
      <c r="J271">
        <v>2196.1799999999998</v>
      </c>
      <c r="K271">
        <v>5</v>
      </c>
      <c r="L271">
        <v>0.1</v>
      </c>
      <c r="M271">
        <v>441.05</v>
      </c>
    </row>
    <row r="272" spans="1:13">
      <c r="A272" t="s">
        <v>321</v>
      </c>
      <c r="B272" s="1">
        <v>45854.953907812502</v>
      </c>
      <c r="C272" s="1">
        <v>45857.953907812502</v>
      </c>
      <c r="D272" t="s">
        <v>14</v>
      </c>
      <c r="E272" t="s">
        <v>42</v>
      </c>
      <c r="F272" t="s">
        <v>34</v>
      </c>
      <c r="G272" t="s">
        <v>35</v>
      </c>
      <c r="H272" t="s">
        <v>53</v>
      </c>
      <c r="I272" t="s">
        <v>87</v>
      </c>
      <c r="J272">
        <v>152.71</v>
      </c>
      <c r="K272">
        <v>6</v>
      </c>
      <c r="L272">
        <v>0.05</v>
      </c>
      <c r="M272">
        <v>14.52</v>
      </c>
    </row>
    <row r="273" spans="1:13">
      <c r="A273" t="s">
        <v>322</v>
      </c>
      <c r="B273" s="1">
        <v>45855.683366736113</v>
      </c>
      <c r="C273" s="1">
        <v>45856.683366736113</v>
      </c>
      <c r="D273" t="s">
        <v>28</v>
      </c>
      <c r="E273" t="s">
        <v>15</v>
      </c>
      <c r="F273" t="s">
        <v>34</v>
      </c>
      <c r="G273" t="s">
        <v>35</v>
      </c>
      <c r="H273" t="s">
        <v>25</v>
      </c>
      <c r="I273" t="s">
        <v>95</v>
      </c>
      <c r="J273">
        <v>51</v>
      </c>
      <c r="K273">
        <v>7</v>
      </c>
      <c r="L273">
        <v>0.1</v>
      </c>
      <c r="M273">
        <v>7.04</v>
      </c>
    </row>
    <row r="274" spans="1:13">
      <c r="A274" t="s">
        <v>323</v>
      </c>
      <c r="B274" s="1">
        <v>45856.412825648149</v>
      </c>
      <c r="C274" s="1">
        <v>45857.412825648149</v>
      </c>
      <c r="D274" t="s">
        <v>28</v>
      </c>
      <c r="E274" t="s">
        <v>22</v>
      </c>
      <c r="F274" t="s">
        <v>16</v>
      </c>
      <c r="G274" t="s">
        <v>29</v>
      </c>
      <c r="H274" t="s">
        <v>49</v>
      </c>
      <c r="I274" t="s">
        <v>19</v>
      </c>
      <c r="J274">
        <v>857.4</v>
      </c>
      <c r="K274">
        <v>5</v>
      </c>
      <c r="L274">
        <v>0</v>
      </c>
      <c r="M274">
        <v>58.56</v>
      </c>
    </row>
    <row r="275" spans="1:13">
      <c r="A275" t="s">
        <v>324</v>
      </c>
      <c r="B275" s="1">
        <v>45857.142284571761</v>
      </c>
      <c r="C275" s="1">
        <v>45861.142284571761</v>
      </c>
      <c r="D275" t="s">
        <v>21</v>
      </c>
      <c r="E275" t="s">
        <v>22</v>
      </c>
      <c r="F275" t="s">
        <v>16</v>
      </c>
      <c r="G275" t="s">
        <v>24</v>
      </c>
      <c r="H275" t="s">
        <v>30</v>
      </c>
      <c r="I275" t="s">
        <v>60</v>
      </c>
      <c r="J275">
        <v>1690.25</v>
      </c>
      <c r="K275">
        <v>3</v>
      </c>
      <c r="L275">
        <v>0.15</v>
      </c>
      <c r="M275">
        <v>32.299999999999997</v>
      </c>
    </row>
    <row r="276" spans="1:13">
      <c r="A276" t="s">
        <v>325</v>
      </c>
      <c r="B276" s="1">
        <v>45857.871743483796</v>
      </c>
      <c r="C276" s="1">
        <v>45863.871743483796</v>
      </c>
      <c r="D276" t="s">
        <v>21</v>
      </c>
      <c r="E276" t="s">
        <v>22</v>
      </c>
      <c r="F276" t="s">
        <v>16</v>
      </c>
      <c r="G276" t="s">
        <v>35</v>
      </c>
      <c r="H276" t="s">
        <v>18</v>
      </c>
      <c r="I276" t="s">
        <v>19</v>
      </c>
      <c r="J276">
        <v>832.57</v>
      </c>
      <c r="K276">
        <v>6</v>
      </c>
      <c r="L276">
        <v>0.15</v>
      </c>
      <c r="M276">
        <v>93.59</v>
      </c>
    </row>
    <row r="277" spans="1:13">
      <c r="A277" t="s">
        <v>326</v>
      </c>
      <c r="B277" s="1">
        <v>45858.601202407408</v>
      </c>
      <c r="C277" s="1">
        <v>45863.601202407408</v>
      </c>
      <c r="D277" t="s">
        <v>63</v>
      </c>
      <c r="E277" t="s">
        <v>15</v>
      </c>
      <c r="F277" t="s">
        <v>16</v>
      </c>
      <c r="G277" t="s">
        <v>24</v>
      </c>
      <c r="H277" t="s">
        <v>36</v>
      </c>
      <c r="I277" t="s">
        <v>47</v>
      </c>
      <c r="J277">
        <v>103.84</v>
      </c>
      <c r="K277">
        <v>5</v>
      </c>
      <c r="L277">
        <v>0.1</v>
      </c>
      <c r="M277">
        <v>4.3499999999999996</v>
      </c>
    </row>
    <row r="278" spans="1:13">
      <c r="A278" t="s">
        <v>327</v>
      </c>
      <c r="B278" s="1">
        <v>45859.330661319444</v>
      </c>
      <c r="C278" s="1">
        <v>45863.330661319444</v>
      </c>
      <c r="D278" t="s">
        <v>52</v>
      </c>
      <c r="E278" t="s">
        <v>15</v>
      </c>
      <c r="F278" t="s">
        <v>34</v>
      </c>
      <c r="G278" t="s">
        <v>35</v>
      </c>
      <c r="H278" t="s">
        <v>53</v>
      </c>
      <c r="I278" t="s">
        <v>73</v>
      </c>
      <c r="J278">
        <v>85.2</v>
      </c>
      <c r="K278">
        <v>8</v>
      </c>
      <c r="L278">
        <v>0.1</v>
      </c>
      <c r="M278">
        <v>6.99</v>
      </c>
    </row>
    <row r="279" spans="1:13">
      <c r="A279" t="s">
        <v>328</v>
      </c>
      <c r="B279" s="1">
        <v>45860.060120243055</v>
      </c>
      <c r="C279" s="1">
        <v>45861.060120243055</v>
      </c>
      <c r="D279" t="s">
        <v>33</v>
      </c>
      <c r="E279" t="s">
        <v>15</v>
      </c>
      <c r="F279" t="s">
        <v>16</v>
      </c>
      <c r="G279" t="s">
        <v>17</v>
      </c>
      <c r="H279" t="s">
        <v>39</v>
      </c>
      <c r="I279" t="s">
        <v>47</v>
      </c>
      <c r="J279">
        <v>136.19999999999999</v>
      </c>
      <c r="K279">
        <v>5</v>
      </c>
      <c r="L279">
        <v>0</v>
      </c>
      <c r="M279">
        <v>19.09</v>
      </c>
    </row>
    <row r="280" spans="1:13">
      <c r="A280" t="s">
        <v>329</v>
      </c>
      <c r="B280" s="1">
        <v>45860.789579155091</v>
      </c>
      <c r="C280" s="1">
        <v>45862.789579155091</v>
      </c>
      <c r="D280" t="s">
        <v>21</v>
      </c>
      <c r="E280" t="s">
        <v>15</v>
      </c>
      <c r="F280" t="s">
        <v>23</v>
      </c>
      <c r="G280" t="s">
        <v>35</v>
      </c>
      <c r="H280" t="s">
        <v>53</v>
      </c>
      <c r="I280" t="s">
        <v>26</v>
      </c>
      <c r="J280">
        <v>1895.31</v>
      </c>
      <c r="K280">
        <v>4</v>
      </c>
      <c r="L280">
        <v>0.05</v>
      </c>
      <c r="M280">
        <v>303.06</v>
      </c>
    </row>
    <row r="281" spans="1:13">
      <c r="A281" t="s">
        <v>330</v>
      </c>
      <c r="B281" s="1">
        <v>45861.519038078703</v>
      </c>
      <c r="C281" s="1">
        <v>45865.519038078703</v>
      </c>
      <c r="D281" t="s">
        <v>52</v>
      </c>
      <c r="E281" t="s">
        <v>42</v>
      </c>
      <c r="F281" t="s">
        <v>23</v>
      </c>
      <c r="G281" t="s">
        <v>35</v>
      </c>
      <c r="H281" t="s">
        <v>44</v>
      </c>
      <c r="I281" t="s">
        <v>55</v>
      </c>
      <c r="J281">
        <v>798.74</v>
      </c>
      <c r="K281">
        <v>6</v>
      </c>
      <c r="L281">
        <v>0</v>
      </c>
      <c r="M281">
        <v>99.95</v>
      </c>
    </row>
    <row r="282" spans="1:13">
      <c r="A282" t="s">
        <v>331</v>
      </c>
      <c r="B282" s="1">
        <v>45862.248496990738</v>
      </c>
      <c r="C282" s="1">
        <v>45868.248496990738</v>
      </c>
      <c r="D282" t="s">
        <v>14</v>
      </c>
      <c r="E282" t="s">
        <v>22</v>
      </c>
      <c r="F282" t="s">
        <v>16</v>
      </c>
      <c r="G282" t="s">
        <v>17</v>
      </c>
      <c r="H282" t="s">
        <v>44</v>
      </c>
      <c r="I282" t="s">
        <v>64</v>
      </c>
      <c r="J282">
        <v>196.93</v>
      </c>
      <c r="K282">
        <v>1</v>
      </c>
      <c r="L282">
        <v>0.1</v>
      </c>
      <c r="M282">
        <v>26.99</v>
      </c>
    </row>
    <row r="283" spans="1:13">
      <c r="A283" t="s">
        <v>332</v>
      </c>
      <c r="B283" s="1">
        <v>45862.97795591435</v>
      </c>
      <c r="C283" s="1">
        <v>45866.97795591435</v>
      </c>
      <c r="D283" t="s">
        <v>28</v>
      </c>
      <c r="E283" t="s">
        <v>22</v>
      </c>
      <c r="F283" t="s">
        <v>23</v>
      </c>
      <c r="G283" t="s">
        <v>29</v>
      </c>
      <c r="H283" t="s">
        <v>39</v>
      </c>
      <c r="I283" t="s">
        <v>31</v>
      </c>
      <c r="J283">
        <v>698.8</v>
      </c>
      <c r="K283">
        <v>6</v>
      </c>
      <c r="L283">
        <v>0.2</v>
      </c>
      <c r="M283">
        <v>97.83</v>
      </c>
    </row>
    <row r="284" spans="1:13">
      <c r="A284" t="s">
        <v>333</v>
      </c>
      <c r="B284" s="1">
        <v>45863.707414826386</v>
      </c>
      <c r="C284" s="1">
        <v>45864.707414826386</v>
      </c>
      <c r="D284" t="s">
        <v>33</v>
      </c>
      <c r="E284" t="s">
        <v>22</v>
      </c>
      <c r="F284" t="s">
        <v>34</v>
      </c>
      <c r="G284" t="s">
        <v>24</v>
      </c>
      <c r="H284" t="s">
        <v>53</v>
      </c>
      <c r="I284" t="s">
        <v>73</v>
      </c>
      <c r="J284">
        <v>82.83</v>
      </c>
      <c r="K284">
        <v>8</v>
      </c>
      <c r="L284">
        <v>0.1</v>
      </c>
      <c r="M284">
        <v>15.96</v>
      </c>
    </row>
    <row r="285" spans="1:13">
      <c r="A285" t="s">
        <v>334</v>
      </c>
      <c r="B285" s="1">
        <v>45864.436873749997</v>
      </c>
      <c r="C285" s="1">
        <v>45867.436873749997</v>
      </c>
      <c r="D285" t="s">
        <v>52</v>
      </c>
      <c r="E285" t="s">
        <v>15</v>
      </c>
      <c r="F285" t="s">
        <v>16</v>
      </c>
      <c r="G285" t="s">
        <v>35</v>
      </c>
      <c r="H285" t="s">
        <v>18</v>
      </c>
      <c r="I285" t="s">
        <v>112</v>
      </c>
      <c r="J285">
        <v>130.59</v>
      </c>
      <c r="K285">
        <v>3</v>
      </c>
      <c r="L285">
        <v>0.1</v>
      </c>
      <c r="M285">
        <v>14.87</v>
      </c>
    </row>
    <row r="286" spans="1:13">
      <c r="A286" t="s">
        <v>335</v>
      </c>
      <c r="B286" s="1">
        <v>45865.16633266204</v>
      </c>
      <c r="C286" s="1">
        <v>45870.16633266204</v>
      </c>
      <c r="D286" t="s">
        <v>33</v>
      </c>
      <c r="E286" t="s">
        <v>22</v>
      </c>
      <c r="F286" t="s">
        <v>34</v>
      </c>
      <c r="G286" t="s">
        <v>17</v>
      </c>
      <c r="H286" t="s">
        <v>18</v>
      </c>
      <c r="I286" t="s">
        <v>95</v>
      </c>
      <c r="J286">
        <v>7.95</v>
      </c>
      <c r="K286">
        <v>1</v>
      </c>
      <c r="L286">
        <v>0.05</v>
      </c>
      <c r="M286">
        <v>1.6</v>
      </c>
    </row>
    <row r="287" spans="1:13">
      <c r="A287" t="s">
        <v>336</v>
      </c>
      <c r="B287" s="1">
        <v>45865.895791585652</v>
      </c>
      <c r="C287" s="1">
        <v>45868.895791585652</v>
      </c>
      <c r="D287" t="s">
        <v>52</v>
      </c>
      <c r="E287" t="s">
        <v>15</v>
      </c>
      <c r="F287" t="s">
        <v>16</v>
      </c>
      <c r="G287" t="s">
        <v>29</v>
      </c>
      <c r="H287" t="s">
        <v>18</v>
      </c>
      <c r="I287" t="s">
        <v>19</v>
      </c>
      <c r="J287">
        <v>268.19</v>
      </c>
      <c r="K287">
        <v>2</v>
      </c>
      <c r="L287">
        <v>0.3</v>
      </c>
      <c r="M287">
        <v>-11.99</v>
      </c>
    </row>
    <row r="288" spans="1:13">
      <c r="A288" t="s">
        <v>337</v>
      </c>
      <c r="B288" s="1">
        <v>45866.625250497687</v>
      </c>
      <c r="C288" s="1">
        <v>45867.625250497687</v>
      </c>
      <c r="D288" t="s">
        <v>28</v>
      </c>
      <c r="E288" t="s">
        <v>42</v>
      </c>
      <c r="F288" t="s">
        <v>34</v>
      </c>
      <c r="G288" t="s">
        <v>24</v>
      </c>
      <c r="H288" t="s">
        <v>49</v>
      </c>
      <c r="I288" t="s">
        <v>73</v>
      </c>
      <c r="J288">
        <v>63.93</v>
      </c>
      <c r="K288">
        <v>7</v>
      </c>
      <c r="L288">
        <v>0.2</v>
      </c>
      <c r="M288">
        <v>7.02</v>
      </c>
    </row>
    <row r="289" spans="1:13">
      <c r="A289" t="s">
        <v>338</v>
      </c>
      <c r="B289" s="1">
        <v>45867.354709421299</v>
      </c>
      <c r="C289" s="1">
        <v>45868.354709421299</v>
      </c>
      <c r="D289" t="s">
        <v>21</v>
      </c>
      <c r="E289" t="s">
        <v>15</v>
      </c>
      <c r="F289" t="s">
        <v>23</v>
      </c>
      <c r="G289" t="s">
        <v>24</v>
      </c>
      <c r="H289" t="s">
        <v>53</v>
      </c>
      <c r="I289" t="s">
        <v>26</v>
      </c>
      <c r="J289">
        <v>1569.36</v>
      </c>
      <c r="K289">
        <v>4</v>
      </c>
      <c r="L289">
        <v>0.2</v>
      </c>
      <c r="M289">
        <v>75.010000000000005</v>
      </c>
    </row>
    <row r="290" spans="1:13">
      <c r="A290" t="s">
        <v>339</v>
      </c>
      <c r="B290" s="1">
        <v>45868.084168333335</v>
      </c>
      <c r="C290" s="1">
        <v>45869.084168333335</v>
      </c>
      <c r="D290" t="s">
        <v>63</v>
      </c>
      <c r="E290" t="s">
        <v>15</v>
      </c>
      <c r="F290" t="s">
        <v>23</v>
      </c>
      <c r="G290" t="s">
        <v>17</v>
      </c>
      <c r="H290" t="s">
        <v>49</v>
      </c>
      <c r="I290" t="s">
        <v>55</v>
      </c>
      <c r="J290">
        <v>378.16</v>
      </c>
      <c r="K290">
        <v>3</v>
      </c>
      <c r="L290">
        <v>0.1</v>
      </c>
      <c r="M290">
        <v>18.91</v>
      </c>
    </row>
    <row r="291" spans="1:13">
      <c r="A291" t="s">
        <v>340</v>
      </c>
      <c r="B291" s="1">
        <v>45868.813627256946</v>
      </c>
      <c r="C291" s="1">
        <v>45870.813627256946</v>
      </c>
      <c r="D291" t="s">
        <v>63</v>
      </c>
      <c r="E291" t="s">
        <v>22</v>
      </c>
      <c r="F291" t="s">
        <v>34</v>
      </c>
      <c r="G291" t="s">
        <v>29</v>
      </c>
      <c r="H291" t="s">
        <v>25</v>
      </c>
      <c r="I291" t="s">
        <v>37</v>
      </c>
      <c r="J291">
        <v>36.53</v>
      </c>
      <c r="K291">
        <v>5</v>
      </c>
      <c r="L291">
        <v>0.2</v>
      </c>
      <c r="M291">
        <v>3.15</v>
      </c>
    </row>
    <row r="292" spans="1:13">
      <c r="A292" t="s">
        <v>341</v>
      </c>
      <c r="B292" s="1">
        <v>45869.543086168982</v>
      </c>
      <c r="C292" s="1">
        <v>45870.543086168982</v>
      </c>
      <c r="D292" t="s">
        <v>63</v>
      </c>
      <c r="E292" t="s">
        <v>15</v>
      </c>
      <c r="F292" t="s">
        <v>16</v>
      </c>
      <c r="G292" t="s">
        <v>17</v>
      </c>
      <c r="H292" t="s">
        <v>53</v>
      </c>
      <c r="I292" t="s">
        <v>60</v>
      </c>
      <c r="J292">
        <v>3721.32</v>
      </c>
      <c r="K292">
        <v>7</v>
      </c>
      <c r="L292">
        <v>0.1</v>
      </c>
      <c r="M292">
        <v>175.43</v>
      </c>
    </row>
    <row r="293" spans="1:13">
      <c r="A293" t="s">
        <v>342</v>
      </c>
      <c r="B293" s="1">
        <v>45870.272545092594</v>
      </c>
      <c r="C293" s="1">
        <v>45871.272545092594</v>
      </c>
      <c r="D293" t="s">
        <v>33</v>
      </c>
      <c r="E293" t="s">
        <v>42</v>
      </c>
      <c r="F293" t="s">
        <v>16</v>
      </c>
      <c r="G293" t="s">
        <v>29</v>
      </c>
      <c r="H293" t="s">
        <v>30</v>
      </c>
      <c r="I293" t="s">
        <v>19</v>
      </c>
      <c r="J293">
        <v>847.39</v>
      </c>
      <c r="K293">
        <v>6</v>
      </c>
      <c r="L293">
        <v>0.2</v>
      </c>
      <c r="M293">
        <v>3.36</v>
      </c>
    </row>
    <row r="294" spans="1:13">
      <c r="A294" t="s">
        <v>343</v>
      </c>
      <c r="B294" s="1">
        <v>45871.002004004629</v>
      </c>
      <c r="C294" s="1">
        <v>45874.002004004629</v>
      </c>
      <c r="D294" t="s">
        <v>21</v>
      </c>
      <c r="E294" t="s">
        <v>15</v>
      </c>
      <c r="F294" t="s">
        <v>23</v>
      </c>
      <c r="G294" t="s">
        <v>24</v>
      </c>
      <c r="H294" t="s">
        <v>30</v>
      </c>
      <c r="I294" t="s">
        <v>45</v>
      </c>
      <c r="J294">
        <v>2185.89</v>
      </c>
      <c r="K294">
        <v>8</v>
      </c>
      <c r="L294">
        <v>0.15</v>
      </c>
      <c r="M294">
        <v>377.05</v>
      </c>
    </row>
    <row r="295" spans="1:13">
      <c r="A295" t="s">
        <v>344</v>
      </c>
      <c r="B295" s="1">
        <v>45871.731462928241</v>
      </c>
      <c r="C295" s="1">
        <v>45875.731462928241</v>
      </c>
      <c r="D295" t="s">
        <v>33</v>
      </c>
      <c r="E295" t="s">
        <v>22</v>
      </c>
      <c r="F295" t="s">
        <v>34</v>
      </c>
      <c r="G295" t="s">
        <v>24</v>
      </c>
      <c r="H295" t="s">
        <v>39</v>
      </c>
      <c r="I295" t="s">
        <v>73</v>
      </c>
      <c r="J295">
        <v>85.12</v>
      </c>
      <c r="K295">
        <v>8</v>
      </c>
      <c r="L295">
        <v>0.05</v>
      </c>
      <c r="M295">
        <v>10.210000000000001</v>
      </c>
    </row>
    <row r="296" spans="1:13">
      <c r="A296" t="s">
        <v>345</v>
      </c>
      <c r="B296" s="1">
        <v>45872.460921840277</v>
      </c>
      <c r="C296" s="1">
        <v>45875.460921840277</v>
      </c>
      <c r="D296" t="s">
        <v>52</v>
      </c>
      <c r="E296" t="s">
        <v>15</v>
      </c>
      <c r="F296" t="s">
        <v>16</v>
      </c>
      <c r="G296" t="s">
        <v>24</v>
      </c>
      <c r="H296" t="s">
        <v>53</v>
      </c>
      <c r="I296" t="s">
        <v>19</v>
      </c>
      <c r="J296">
        <v>332.87</v>
      </c>
      <c r="K296">
        <v>2</v>
      </c>
      <c r="L296">
        <v>0.1</v>
      </c>
      <c r="M296">
        <v>28.73</v>
      </c>
    </row>
    <row r="297" spans="1:13">
      <c r="A297" t="s">
        <v>346</v>
      </c>
      <c r="B297" s="1">
        <v>45873.190380763888</v>
      </c>
      <c r="C297" s="1">
        <v>45874.190380763888</v>
      </c>
      <c r="D297" t="s">
        <v>28</v>
      </c>
      <c r="E297" t="s">
        <v>22</v>
      </c>
      <c r="F297" t="s">
        <v>34</v>
      </c>
      <c r="G297" t="s">
        <v>24</v>
      </c>
      <c r="H297" t="s">
        <v>36</v>
      </c>
      <c r="I297" t="s">
        <v>95</v>
      </c>
      <c r="J297">
        <v>57.37</v>
      </c>
      <c r="K297">
        <v>8</v>
      </c>
      <c r="L297">
        <v>0.05</v>
      </c>
      <c r="M297">
        <v>12.64</v>
      </c>
    </row>
    <row r="298" spans="1:13">
      <c r="A298" t="s">
        <v>347</v>
      </c>
      <c r="B298" s="1">
        <v>45873.919839675924</v>
      </c>
      <c r="C298" s="1">
        <v>45876.919839675924</v>
      </c>
      <c r="D298" t="s">
        <v>52</v>
      </c>
      <c r="E298" t="s">
        <v>42</v>
      </c>
      <c r="F298" t="s">
        <v>23</v>
      </c>
      <c r="G298" t="s">
        <v>35</v>
      </c>
      <c r="H298" t="s">
        <v>44</v>
      </c>
      <c r="I298" t="s">
        <v>26</v>
      </c>
      <c r="J298">
        <v>3934.09</v>
      </c>
      <c r="K298">
        <v>8</v>
      </c>
      <c r="L298">
        <v>0.1</v>
      </c>
      <c r="M298">
        <v>370.42</v>
      </c>
    </row>
    <row r="299" spans="1:13">
      <c r="A299" t="s">
        <v>348</v>
      </c>
      <c r="B299" s="1">
        <v>45874.649298599536</v>
      </c>
      <c r="C299" s="1">
        <v>45876.649298599536</v>
      </c>
      <c r="D299" t="s">
        <v>33</v>
      </c>
      <c r="E299" t="s">
        <v>42</v>
      </c>
      <c r="F299" t="s">
        <v>23</v>
      </c>
      <c r="G299" t="s">
        <v>24</v>
      </c>
      <c r="H299" t="s">
        <v>18</v>
      </c>
      <c r="I299" t="s">
        <v>55</v>
      </c>
      <c r="J299">
        <v>247.22</v>
      </c>
      <c r="K299">
        <v>2</v>
      </c>
      <c r="L299">
        <v>0.05</v>
      </c>
      <c r="M299">
        <v>32.22</v>
      </c>
    </row>
    <row r="300" spans="1:13">
      <c r="A300" t="s">
        <v>349</v>
      </c>
      <c r="B300" s="1">
        <v>45875.378757511571</v>
      </c>
      <c r="C300" s="1">
        <v>45876.378757511571</v>
      </c>
      <c r="D300" t="s">
        <v>33</v>
      </c>
      <c r="E300" t="s">
        <v>22</v>
      </c>
      <c r="F300" t="s">
        <v>34</v>
      </c>
      <c r="G300" t="s">
        <v>35</v>
      </c>
      <c r="H300" t="s">
        <v>39</v>
      </c>
      <c r="I300" t="s">
        <v>95</v>
      </c>
      <c r="J300">
        <v>19.600000000000001</v>
      </c>
      <c r="K300">
        <v>3</v>
      </c>
      <c r="L300">
        <v>0.2</v>
      </c>
      <c r="M300">
        <v>2.72</v>
      </c>
    </row>
    <row r="301" spans="1:13">
      <c r="A301" t="s">
        <v>350</v>
      </c>
      <c r="B301" s="1">
        <v>45876.108216435183</v>
      </c>
      <c r="C301" s="1">
        <v>45877.108216435183</v>
      </c>
      <c r="D301" t="s">
        <v>63</v>
      </c>
      <c r="E301" t="s">
        <v>22</v>
      </c>
      <c r="F301" t="s">
        <v>16</v>
      </c>
      <c r="G301" t="s">
        <v>29</v>
      </c>
      <c r="H301" t="s">
        <v>18</v>
      </c>
      <c r="I301" t="s">
        <v>60</v>
      </c>
      <c r="J301">
        <v>2399.46</v>
      </c>
      <c r="K301">
        <v>5</v>
      </c>
      <c r="L301">
        <v>0.3</v>
      </c>
      <c r="M301">
        <v>315.33999999999997</v>
      </c>
    </row>
    <row r="302" spans="1:13">
      <c r="A302" t="s">
        <v>351</v>
      </c>
      <c r="B302" s="1">
        <v>45876.837675347226</v>
      </c>
      <c r="C302" s="1">
        <v>45879.837675347226</v>
      </c>
      <c r="D302" t="s">
        <v>21</v>
      </c>
      <c r="E302" t="s">
        <v>22</v>
      </c>
      <c r="F302" t="s">
        <v>34</v>
      </c>
      <c r="G302" t="s">
        <v>24</v>
      </c>
      <c r="H302" t="s">
        <v>30</v>
      </c>
      <c r="I302" t="s">
        <v>37</v>
      </c>
      <c r="J302">
        <v>60.51</v>
      </c>
      <c r="K302">
        <v>7</v>
      </c>
      <c r="L302">
        <v>0.1</v>
      </c>
      <c r="M302">
        <v>4.34</v>
      </c>
    </row>
    <row r="303" spans="1:13">
      <c r="A303" t="s">
        <v>352</v>
      </c>
      <c r="B303" s="1">
        <v>45877.56713427083</v>
      </c>
      <c r="C303" s="1">
        <v>45882.56713427083</v>
      </c>
      <c r="D303" t="s">
        <v>14</v>
      </c>
      <c r="E303" t="s">
        <v>22</v>
      </c>
      <c r="F303" t="s">
        <v>34</v>
      </c>
      <c r="G303" t="s">
        <v>35</v>
      </c>
      <c r="H303" t="s">
        <v>36</v>
      </c>
      <c r="I303" t="s">
        <v>95</v>
      </c>
      <c r="J303">
        <v>25.83</v>
      </c>
      <c r="K303">
        <v>4</v>
      </c>
      <c r="L303">
        <v>0.2</v>
      </c>
      <c r="M303">
        <v>0.51</v>
      </c>
    </row>
    <row r="304" spans="1:13">
      <c r="A304" t="s">
        <v>353</v>
      </c>
      <c r="B304" s="1">
        <v>45878.296593182873</v>
      </c>
      <c r="C304" s="1">
        <v>45879.296593182873</v>
      </c>
      <c r="D304" t="s">
        <v>21</v>
      </c>
      <c r="E304" t="s">
        <v>15</v>
      </c>
      <c r="F304" t="s">
        <v>23</v>
      </c>
      <c r="G304" t="s">
        <v>24</v>
      </c>
      <c r="H304" t="s">
        <v>39</v>
      </c>
      <c r="I304" t="s">
        <v>55</v>
      </c>
      <c r="J304">
        <v>527.27</v>
      </c>
      <c r="K304">
        <v>5</v>
      </c>
      <c r="L304">
        <v>0.3</v>
      </c>
      <c r="M304">
        <v>35.44</v>
      </c>
    </row>
    <row r="305" spans="1:13">
      <c r="A305" t="s">
        <v>354</v>
      </c>
      <c r="B305" s="1">
        <v>45879.026052106485</v>
      </c>
      <c r="C305" s="1">
        <v>45882.026052106485</v>
      </c>
      <c r="D305" t="s">
        <v>33</v>
      </c>
      <c r="E305" t="s">
        <v>42</v>
      </c>
      <c r="F305" t="s">
        <v>23</v>
      </c>
      <c r="G305" t="s">
        <v>35</v>
      </c>
      <c r="H305" t="s">
        <v>30</v>
      </c>
      <c r="I305" t="s">
        <v>26</v>
      </c>
      <c r="J305">
        <v>2269.36</v>
      </c>
      <c r="K305">
        <v>5</v>
      </c>
      <c r="L305">
        <v>0.1</v>
      </c>
      <c r="M305">
        <v>149.77000000000001</v>
      </c>
    </row>
    <row r="306" spans="1:13">
      <c r="A306" t="s">
        <v>355</v>
      </c>
      <c r="B306" s="1">
        <v>45879.75551101852</v>
      </c>
      <c r="C306" s="1">
        <v>45880.75551101852</v>
      </c>
      <c r="D306" t="s">
        <v>28</v>
      </c>
      <c r="E306" t="s">
        <v>22</v>
      </c>
      <c r="F306" t="s">
        <v>23</v>
      </c>
      <c r="G306" t="s">
        <v>29</v>
      </c>
      <c r="H306" t="s">
        <v>36</v>
      </c>
      <c r="I306" t="s">
        <v>26</v>
      </c>
      <c r="J306">
        <v>3174.31</v>
      </c>
      <c r="K306">
        <v>6</v>
      </c>
      <c r="L306">
        <v>0</v>
      </c>
      <c r="M306">
        <v>261.77999999999997</v>
      </c>
    </row>
    <row r="307" spans="1:13">
      <c r="A307" t="s">
        <v>356</v>
      </c>
      <c r="B307" s="1">
        <v>45880.484969942132</v>
      </c>
      <c r="C307" s="1">
        <v>45886.484969942132</v>
      </c>
      <c r="D307" t="s">
        <v>21</v>
      </c>
      <c r="E307" t="s">
        <v>42</v>
      </c>
      <c r="F307" t="s">
        <v>34</v>
      </c>
      <c r="G307" t="s">
        <v>35</v>
      </c>
      <c r="H307" t="s">
        <v>53</v>
      </c>
      <c r="I307" t="s">
        <v>73</v>
      </c>
      <c r="J307">
        <v>35.520000000000003</v>
      </c>
      <c r="K307">
        <v>3</v>
      </c>
      <c r="L307">
        <v>0.1</v>
      </c>
      <c r="M307">
        <v>3.98</v>
      </c>
    </row>
    <row r="308" spans="1:13">
      <c r="A308" t="s">
        <v>357</v>
      </c>
      <c r="B308" s="1">
        <v>45881.214428854168</v>
      </c>
      <c r="C308" s="1">
        <v>45882.214428854168</v>
      </c>
      <c r="D308" t="s">
        <v>14</v>
      </c>
      <c r="E308" t="s">
        <v>22</v>
      </c>
      <c r="F308" t="s">
        <v>23</v>
      </c>
      <c r="G308" t="s">
        <v>29</v>
      </c>
      <c r="H308" t="s">
        <v>49</v>
      </c>
      <c r="I308" t="s">
        <v>55</v>
      </c>
      <c r="J308">
        <v>955.86</v>
      </c>
      <c r="K308">
        <v>7</v>
      </c>
      <c r="L308">
        <v>0.1</v>
      </c>
      <c r="M308">
        <v>86.23</v>
      </c>
    </row>
    <row r="309" spans="1:13">
      <c r="A309" t="s">
        <v>358</v>
      </c>
      <c r="B309" s="1">
        <v>45881.943887777779</v>
      </c>
      <c r="C309" s="1">
        <v>45882.943887777779</v>
      </c>
      <c r="D309" t="s">
        <v>28</v>
      </c>
      <c r="E309" t="s">
        <v>22</v>
      </c>
      <c r="F309" t="s">
        <v>23</v>
      </c>
      <c r="G309" t="s">
        <v>24</v>
      </c>
      <c r="H309" t="s">
        <v>53</v>
      </c>
      <c r="I309" t="s">
        <v>55</v>
      </c>
      <c r="J309">
        <v>845.25</v>
      </c>
      <c r="K309">
        <v>7</v>
      </c>
      <c r="L309">
        <v>0.15</v>
      </c>
      <c r="M309">
        <v>151.80000000000001</v>
      </c>
    </row>
    <row r="310" spans="1:13">
      <c r="A310" t="s">
        <v>359</v>
      </c>
      <c r="B310" s="1">
        <v>45882.673346689815</v>
      </c>
      <c r="C310" s="1">
        <v>45888.673346689815</v>
      </c>
      <c r="D310" t="s">
        <v>33</v>
      </c>
      <c r="E310" t="s">
        <v>15</v>
      </c>
      <c r="F310" t="s">
        <v>34</v>
      </c>
      <c r="G310" t="s">
        <v>35</v>
      </c>
      <c r="H310" t="s">
        <v>44</v>
      </c>
      <c r="I310" t="s">
        <v>37</v>
      </c>
      <c r="J310">
        <v>55.42</v>
      </c>
      <c r="K310">
        <v>7</v>
      </c>
      <c r="L310">
        <v>0.2</v>
      </c>
      <c r="M310">
        <v>4.54</v>
      </c>
    </row>
    <row r="311" spans="1:13">
      <c r="A311" t="s">
        <v>360</v>
      </c>
      <c r="B311" s="1">
        <v>45883.402805613427</v>
      </c>
      <c r="C311" s="1">
        <v>45889.402805613427</v>
      </c>
      <c r="D311" t="s">
        <v>33</v>
      </c>
      <c r="E311" t="s">
        <v>42</v>
      </c>
      <c r="F311" t="s">
        <v>34</v>
      </c>
      <c r="G311" t="s">
        <v>24</v>
      </c>
      <c r="H311" t="s">
        <v>44</v>
      </c>
      <c r="I311" t="s">
        <v>95</v>
      </c>
      <c r="J311">
        <v>42.37</v>
      </c>
      <c r="K311">
        <v>6</v>
      </c>
      <c r="L311">
        <v>0.15</v>
      </c>
      <c r="M311">
        <v>1.34</v>
      </c>
    </row>
    <row r="312" spans="1:13">
      <c r="A312" t="s">
        <v>361</v>
      </c>
      <c r="B312" s="1">
        <v>45884.132264525462</v>
      </c>
      <c r="C312" s="1">
        <v>45885.132264525462</v>
      </c>
      <c r="D312" t="s">
        <v>52</v>
      </c>
      <c r="E312" t="s">
        <v>15</v>
      </c>
      <c r="F312" t="s">
        <v>34</v>
      </c>
      <c r="G312" t="s">
        <v>35</v>
      </c>
      <c r="H312" t="s">
        <v>53</v>
      </c>
      <c r="I312" t="s">
        <v>73</v>
      </c>
      <c r="J312">
        <v>79.17</v>
      </c>
      <c r="K312">
        <v>6</v>
      </c>
      <c r="L312">
        <v>0</v>
      </c>
      <c r="M312">
        <v>14.4</v>
      </c>
    </row>
    <row r="313" spans="1:13">
      <c r="A313" t="s">
        <v>362</v>
      </c>
      <c r="B313" s="1">
        <v>45884.861723449074</v>
      </c>
      <c r="C313" s="1">
        <v>45888.861723449074</v>
      </c>
      <c r="D313" t="s">
        <v>63</v>
      </c>
      <c r="E313" t="s">
        <v>15</v>
      </c>
      <c r="F313" t="s">
        <v>16</v>
      </c>
      <c r="G313" t="s">
        <v>24</v>
      </c>
      <c r="H313" t="s">
        <v>25</v>
      </c>
      <c r="I313" t="s">
        <v>19</v>
      </c>
      <c r="J313">
        <v>162.19999999999999</v>
      </c>
      <c r="K313">
        <v>1</v>
      </c>
      <c r="L313">
        <v>0</v>
      </c>
      <c r="M313">
        <v>37.090000000000003</v>
      </c>
    </row>
    <row r="314" spans="1:13">
      <c r="A314" t="s">
        <v>363</v>
      </c>
      <c r="B314" s="1">
        <v>45885.59118236111</v>
      </c>
      <c r="C314" s="1">
        <v>45891.59118236111</v>
      </c>
      <c r="D314" t="s">
        <v>14</v>
      </c>
      <c r="E314" t="s">
        <v>15</v>
      </c>
      <c r="F314" t="s">
        <v>34</v>
      </c>
      <c r="G314" t="s">
        <v>17</v>
      </c>
      <c r="H314" t="s">
        <v>49</v>
      </c>
      <c r="I314" t="s">
        <v>73</v>
      </c>
      <c r="J314">
        <v>23.56</v>
      </c>
      <c r="K314">
        <v>2</v>
      </c>
      <c r="L314">
        <v>0</v>
      </c>
      <c r="M314">
        <v>3.14</v>
      </c>
    </row>
    <row r="315" spans="1:13">
      <c r="A315" t="s">
        <v>364</v>
      </c>
      <c r="B315" s="1">
        <v>45886.320641284721</v>
      </c>
      <c r="C315" s="1">
        <v>45892.320641284721</v>
      </c>
      <c r="D315" t="s">
        <v>21</v>
      </c>
      <c r="E315" t="s">
        <v>22</v>
      </c>
      <c r="F315" t="s">
        <v>23</v>
      </c>
      <c r="G315" t="s">
        <v>35</v>
      </c>
      <c r="H315" t="s">
        <v>36</v>
      </c>
      <c r="I315" t="s">
        <v>31</v>
      </c>
      <c r="J315">
        <v>612.83000000000004</v>
      </c>
      <c r="K315">
        <v>5</v>
      </c>
      <c r="L315">
        <v>0.15</v>
      </c>
      <c r="M315">
        <v>15.73</v>
      </c>
    </row>
    <row r="316" spans="1:13">
      <c r="A316" t="s">
        <v>365</v>
      </c>
      <c r="B316" s="1">
        <v>45887.050100196757</v>
      </c>
      <c r="C316" s="1">
        <v>45891.050100196757</v>
      </c>
      <c r="D316" t="s">
        <v>21</v>
      </c>
      <c r="E316" t="s">
        <v>15</v>
      </c>
      <c r="F316" t="s">
        <v>34</v>
      </c>
      <c r="G316" t="s">
        <v>35</v>
      </c>
      <c r="H316" t="s">
        <v>44</v>
      </c>
      <c r="I316" t="s">
        <v>40</v>
      </c>
      <c r="J316">
        <v>29.42</v>
      </c>
      <c r="K316">
        <v>2</v>
      </c>
      <c r="L316">
        <v>0</v>
      </c>
      <c r="M316">
        <v>3.33</v>
      </c>
    </row>
    <row r="317" spans="1:13">
      <c r="A317" t="s">
        <v>366</v>
      </c>
      <c r="B317" s="1">
        <v>45887.779559120369</v>
      </c>
      <c r="C317" s="1">
        <v>45888.779559120369</v>
      </c>
      <c r="D317" t="s">
        <v>52</v>
      </c>
      <c r="E317" t="s">
        <v>22</v>
      </c>
      <c r="F317" t="s">
        <v>16</v>
      </c>
      <c r="G317" t="s">
        <v>24</v>
      </c>
      <c r="H317" t="s">
        <v>18</v>
      </c>
      <c r="I317" t="s">
        <v>112</v>
      </c>
      <c r="J317">
        <v>255.29</v>
      </c>
      <c r="K317">
        <v>6</v>
      </c>
      <c r="L317">
        <v>0.05</v>
      </c>
      <c r="M317">
        <v>21.24</v>
      </c>
    </row>
    <row r="318" spans="1:13">
      <c r="A318" t="s">
        <v>367</v>
      </c>
      <c r="B318" s="1">
        <v>45888.509018032404</v>
      </c>
      <c r="C318" s="1">
        <v>45894.509018032404</v>
      </c>
      <c r="D318" t="s">
        <v>21</v>
      </c>
      <c r="E318" t="s">
        <v>42</v>
      </c>
      <c r="F318" t="s">
        <v>16</v>
      </c>
      <c r="G318" t="s">
        <v>17</v>
      </c>
      <c r="H318" t="s">
        <v>44</v>
      </c>
      <c r="I318" t="s">
        <v>112</v>
      </c>
      <c r="J318">
        <v>35.86</v>
      </c>
      <c r="K318">
        <v>1</v>
      </c>
      <c r="L318">
        <v>0.15</v>
      </c>
      <c r="M318">
        <v>4.92</v>
      </c>
    </row>
    <row r="319" spans="1:13">
      <c r="A319" t="s">
        <v>368</v>
      </c>
      <c r="B319" s="1">
        <v>45889.238476956016</v>
      </c>
      <c r="C319" s="1">
        <v>45894.238476956016</v>
      </c>
      <c r="D319" t="s">
        <v>52</v>
      </c>
      <c r="E319" t="s">
        <v>42</v>
      </c>
      <c r="F319" t="s">
        <v>23</v>
      </c>
      <c r="G319" t="s">
        <v>35</v>
      </c>
      <c r="H319" t="s">
        <v>25</v>
      </c>
      <c r="I319" t="s">
        <v>26</v>
      </c>
      <c r="J319">
        <v>3573.48</v>
      </c>
      <c r="K319">
        <v>8</v>
      </c>
      <c r="L319">
        <v>0.1</v>
      </c>
      <c r="M319">
        <v>240.27</v>
      </c>
    </row>
    <row r="320" spans="1:13">
      <c r="A320" t="s">
        <v>369</v>
      </c>
      <c r="B320" s="1">
        <v>45889.967935868059</v>
      </c>
      <c r="C320" s="1">
        <v>45891.967935868059</v>
      </c>
      <c r="D320" t="s">
        <v>14</v>
      </c>
      <c r="E320" t="s">
        <v>22</v>
      </c>
      <c r="F320" t="s">
        <v>16</v>
      </c>
      <c r="G320" t="s">
        <v>17</v>
      </c>
      <c r="H320" t="s">
        <v>53</v>
      </c>
      <c r="I320" t="s">
        <v>64</v>
      </c>
      <c r="J320">
        <v>757.83</v>
      </c>
      <c r="K320">
        <v>4</v>
      </c>
      <c r="L320">
        <v>0.1</v>
      </c>
      <c r="M320">
        <v>37.200000000000003</v>
      </c>
    </row>
    <row r="321" spans="1:13">
      <c r="A321" t="s">
        <v>370</v>
      </c>
      <c r="B321" s="1">
        <v>45890.697394791663</v>
      </c>
      <c r="C321" s="1">
        <v>45891.697394791663</v>
      </c>
      <c r="D321" t="s">
        <v>21</v>
      </c>
      <c r="E321" t="s">
        <v>22</v>
      </c>
      <c r="F321" t="s">
        <v>16</v>
      </c>
      <c r="G321" t="s">
        <v>29</v>
      </c>
      <c r="H321" t="s">
        <v>18</v>
      </c>
      <c r="I321" t="s">
        <v>60</v>
      </c>
      <c r="J321">
        <v>1152.52</v>
      </c>
      <c r="K321">
        <v>2</v>
      </c>
      <c r="L321">
        <v>0.15</v>
      </c>
      <c r="M321">
        <v>131.76</v>
      </c>
    </row>
    <row r="322" spans="1:13">
      <c r="A322" t="s">
        <v>371</v>
      </c>
      <c r="B322" s="1">
        <v>45891.426853703706</v>
      </c>
      <c r="C322" s="1">
        <v>45894.426853703706</v>
      </c>
      <c r="D322" t="s">
        <v>21</v>
      </c>
      <c r="E322" t="s">
        <v>42</v>
      </c>
      <c r="F322" t="s">
        <v>34</v>
      </c>
      <c r="G322" t="s">
        <v>35</v>
      </c>
      <c r="H322" t="s">
        <v>49</v>
      </c>
      <c r="I322" t="s">
        <v>95</v>
      </c>
      <c r="J322">
        <v>31.11</v>
      </c>
      <c r="K322">
        <v>4</v>
      </c>
      <c r="L322">
        <v>0</v>
      </c>
      <c r="M322">
        <v>3.38</v>
      </c>
    </row>
    <row r="323" spans="1:13">
      <c r="A323" t="s">
        <v>372</v>
      </c>
      <c r="B323" s="1">
        <v>45892.156312627318</v>
      </c>
      <c r="C323" s="1">
        <v>45894.156312627318</v>
      </c>
      <c r="D323" t="s">
        <v>21</v>
      </c>
      <c r="E323" t="s">
        <v>22</v>
      </c>
      <c r="F323" t="s">
        <v>23</v>
      </c>
      <c r="G323" t="s">
        <v>24</v>
      </c>
      <c r="H323" t="s">
        <v>25</v>
      </c>
      <c r="I323" t="s">
        <v>31</v>
      </c>
      <c r="J323">
        <v>996.65</v>
      </c>
      <c r="K323">
        <v>6</v>
      </c>
      <c r="L323">
        <v>0.05</v>
      </c>
      <c r="M323">
        <v>58.38</v>
      </c>
    </row>
    <row r="324" spans="1:13">
      <c r="A324" t="s">
        <v>373</v>
      </c>
      <c r="B324" s="1">
        <v>45892.885771539353</v>
      </c>
      <c r="C324" s="1">
        <v>45897.885771539353</v>
      </c>
      <c r="D324" t="s">
        <v>33</v>
      </c>
      <c r="E324" t="s">
        <v>22</v>
      </c>
      <c r="F324" t="s">
        <v>23</v>
      </c>
      <c r="G324" t="s">
        <v>17</v>
      </c>
      <c r="H324" t="s">
        <v>25</v>
      </c>
      <c r="I324" t="s">
        <v>26</v>
      </c>
      <c r="J324">
        <v>3266.87</v>
      </c>
      <c r="K324">
        <v>7</v>
      </c>
      <c r="L324">
        <v>0</v>
      </c>
      <c r="M324">
        <v>615.30999999999995</v>
      </c>
    </row>
    <row r="325" spans="1:13">
      <c r="A325" t="s">
        <v>374</v>
      </c>
      <c r="B325" s="1">
        <v>45893.615230462965</v>
      </c>
      <c r="C325" s="1">
        <v>45896.615230462965</v>
      </c>
      <c r="D325" t="s">
        <v>28</v>
      </c>
      <c r="E325" t="s">
        <v>22</v>
      </c>
      <c r="F325" t="s">
        <v>16</v>
      </c>
      <c r="G325" t="s">
        <v>29</v>
      </c>
      <c r="H325" t="s">
        <v>53</v>
      </c>
      <c r="I325" t="s">
        <v>47</v>
      </c>
      <c r="J325">
        <v>133.53</v>
      </c>
      <c r="K325">
        <v>7</v>
      </c>
      <c r="L325">
        <v>0.2</v>
      </c>
      <c r="M325">
        <v>10.09</v>
      </c>
    </row>
    <row r="326" spans="1:13">
      <c r="A326" t="s">
        <v>375</v>
      </c>
      <c r="B326" s="1">
        <v>45894.344689375001</v>
      </c>
      <c r="C326" s="1">
        <v>45900.344689375001</v>
      </c>
      <c r="D326" t="s">
        <v>14</v>
      </c>
      <c r="E326" t="s">
        <v>22</v>
      </c>
      <c r="F326" t="s">
        <v>16</v>
      </c>
      <c r="G326" t="s">
        <v>17</v>
      </c>
      <c r="H326" t="s">
        <v>39</v>
      </c>
      <c r="I326" t="s">
        <v>47</v>
      </c>
      <c r="J326">
        <v>178.48</v>
      </c>
      <c r="K326">
        <v>8</v>
      </c>
      <c r="L326">
        <v>0.1</v>
      </c>
      <c r="M326">
        <v>11.17</v>
      </c>
    </row>
    <row r="327" spans="1:13">
      <c r="A327" t="s">
        <v>376</v>
      </c>
      <c r="B327" s="1">
        <v>45895.074148298612</v>
      </c>
      <c r="C327" s="1">
        <v>45896.074148298612</v>
      </c>
      <c r="D327" t="s">
        <v>52</v>
      </c>
      <c r="E327" t="s">
        <v>15</v>
      </c>
      <c r="F327" t="s">
        <v>34</v>
      </c>
      <c r="G327" t="s">
        <v>29</v>
      </c>
      <c r="H327" t="s">
        <v>44</v>
      </c>
      <c r="I327" t="s">
        <v>87</v>
      </c>
      <c r="J327">
        <v>113.69</v>
      </c>
      <c r="K327">
        <v>5</v>
      </c>
      <c r="L327">
        <v>0.15</v>
      </c>
      <c r="M327">
        <v>5.19</v>
      </c>
    </row>
    <row r="328" spans="1:13">
      <c r="A328" t="s">
        <v>377</v>
      </c>
      <c r="B328" s="1">
        <v>45895.803607210648</v>
      </c>
      <c r="C328" s="1">
        <v>45899.803607210648</v>
      </c>
      <c r="D328" t="s">
        <v>21</v>
      </c>
      <c r="E328" t="s">
        <v>15</v>
      </c>
      <c r="F328" t="s">
        <v>23</v>
      </c>
      <c r="G328" t="s">
        <v>17</v>
      </c>
      <c r="H328" t="s">
        <v>30</v>
      </c>
      <c r="I328" t="s">
        <v>26</v>
      </c>
      <c r="J328">
        <v>1927.77</v>
      </c>
      <c r="K328">
        <v>5</v>
      </c>
      <c r="L328">
        <v>0.15</v>
      </c>
      <c r="M328">
        <v>151.43</v>
      </c>
    </row>
    <row r="329" spans="1:13">
      <c r="A329" t="s">
        <v>378</v>
      </c>
      <c r="B329" s="1">
        <v>45896.53306613426</v>
      </c>
      <c r="C329" s="1">
        <v>45900.53306613426</v>
      </c>
      <c r="D329" t="s">
        <v>14</v>
      </c>
      <c r="E329" t="s">
        <v>15</v>
      </c>
      <c r="F329" t="s">
        <v>23</v>
      </c>
      <c r="G329" t="s">
        <v>24</v>
      </c>
      <c r="H329" t="s">
        <v>53</v>
      </c>
      <c r="I329" t="s">
        <v>31</v>
      </c>
      <c r="J329">
        <v>511.27</v>
      </c>
      <c r="K329">
        <v>4</v>
      </c>
      <c r="L329">
        <v>0.15</v>
      </c>
      <c r="M329">
        <v>85.76</v>
      </c>
    </row>
    <row r="330" spans="1:13">
      <c r="A330" t="s">
        <v>379</v>
      </c>
      <c r="B330" s="1">
        <v>45897.262525046295</v>
      </c>
      <c r="C330" s="1">
        <v>45902.262525046295</v>
      </c>
      <c r="D330" t="s">
        <v>52</v>
      </c>
      <c r="E330" t="s">
        <v>42</v>
      </c>
      <c r="F330" t="s">
        <v>34</v>
      </c>
      <c r="G330" t="s">
        <v>29</v>
      </c>
      <c r="H330" t="s">
        <v>53</v>
      </c>
      <c r="I330" t="s">
        <v>87</v>
      </c>
      <c r="J330">
        <v>126.72</v>
      </c>
      <c r="K330">
        <v>5</v>
      </c>
      <c r="L330">
        <v>0.05</v>
      </c>
      <c r="M330">
        <v>5.72</v>
      </c>
    </row>
    <row r="331" spans="1:13">
      <c r="A331" t="s">
        <v>380</v>
      </c>
      <c r="B331" s="1">
        <v>45897.991983969907</v>
      </c>
      <c r="C331" s="1">
        <v>45903.991983969907</v>
      </c>
      <c r="D331" t="s">
        <v>28</v>
      </c>
      <c r="E331" t="s">
        <v>22</v>
      </c>
      <c r="F331" t="s">
        <v>16</v>
      </c>
      <c r="G331" t="s">
        <v>35</v>
      </c>
      <c r="H331" t="s">
        <v>53</v>
      </c>
      <c r="I331" t="s">
        <v>64</v>
      </c>
      <c r="J331">
        <v>582.63</v>
      </c>
      <c r="K331">
        <v>3</v>
      </c>
      <c r="L331">
        <v>0.1</v>
      </c>
      <c r="M331">
        <v>70.25</v>
      </c>
    </row>
    <row r="332" spans="1:13">
      <c r="A332" t="s">
        <v>381</v>
      </c>
      <c r="B332" s="1">
        <v>45898.721442881942</v>
      </c>
      <c r="C332" s="1">
        <v>45899.721442881942</v>
      </c>
      <c r="D332" t="s">
        <v>28</v>
      </c>
      <c r="E332" t="s">
        <v>42</v>
      </c>
      <c r="F332" t="s">
        <v>34</v>
      </c>
      <c r="G332" t="s">
        <v>17</v>
      </c>
      <c r="H332" t="s">
        <v>49</v>
      </c>
      <c r="I332" t="s">
        <v>40</v>
      </c>
      <c r="J332">
        <v>24.54</v>
      </c>
      <c r="K332">
        <v>2</v>
      </c>
      <c r="L332">
        <v>0.15</v>
      </c>
      <c r="M332">
        <v>3.6</v>
      </c>
    </row>
    <row r="333" spans="1:13">
      <c r="A333" t="s">
        <v>382</v>
      </c>
      <c r="B333" s="1">
        <v>45899.450901805554</v>
      </c>
      <c r="C333" s="1">
        <v>45904.450901805554</v>
      </c>
      <c r="D333" t="s">
        <v>63</v>
      </c>
      <c r="E333" t="s">
        <v>22</v>
      </c>
      <c r="F333" t="s">
        <v>23</v>
      </c>
      <c r="G333" t="s">
        <v>35</v>
      </c>
      <c r="H333" t="s">
        <v>36</v>
      </c>
      <c r="I333" t="s">
        <v>45</v>
      </c>
      <c r="J333">
        <v>832.38</v>
      </c>
      <c r="K333">
        <v>3</v>
      </c>
      <c r="L333">
        <v>0.05</v>
      </c>
      <c r="M333">
        <v>62.61</v>
      </c>
    </row>
    <row r="334" spans="1:13">
      <c r="A334" t="s">
        <v>383</v>
      </c>
      <c r="B334" s="1">
        <v>45900.18036071759</v>
      </c>
      <c r="C334" s="1">
        <v>45905.18036071759</v>
      </c>
      <c r="D334" t="s">
        <v>28</v>
      </c>
      <c r="E334" t="s">
        <v>15</v>
      </c>
      <c r="F334" t="s">
        <v>16</v>
      </c>
      <c r="G334" t="s">
        <v>35</v>
      </c>
      <c r="H334" t="s">
        <v>53</v>
      </c>
      <c r="I334" t="s">
        <v>60</v>
      </c>
      <c r="J334">
        <v>3557.8</v>
      </c>
      <c r="K334">
        <v>6</v>
      </c>
      <c r="L334">
        <v>0.1</v>
      </c>
      <c r="M334">
        <v>513.54</v>
      </c>
    </row>
    <row r="335" spans="1:13">
      <c r="A335" t="s">
        <v>384</v>
      </c>
      <c r="B335" s="1">
        <v>45900.909819641201</v>
      </c>
      <c r="C335" s="1">
        <v>45903.909819641201</v>
      </c>
      <c r="D335" t="s">
        <v>28</v>
      </c>
      <c r="E335" t="s">
        <v>15</v>
      </c>
      <c r="F335" t="s">
        <v>23</v>
      </c>
      <c r="G335" t="s">
        <v>24</v>
      </c>
      <c r="H335" t="s">
        <v>53</v>
      </c>
      <c r="I335" t="s">
        <v>26</v>
      </c>
      <c r="J335">
        <v>431.2</v>
      </c>
      <c r="K335">
        <v>1</v>
      </c>
      <c r="L335">
        <v>0.1</v>
      </c>
      <c r="M335">
        <v>26.85</v>
      </c>
    </row>
    <row r="336" spans="1:13">
      <c r="A336" t="s">
        <v>385</v>
      </c>
      <c r="B336" s="1">
        <v>45901.639278553244</v>
      </c>
      <c r="C336" s="1">
        <v>45905.639278553244</v>
      </c>
      <c r="D336" t="s">
        <v>21</v>
      </c>
      <c r="E336" t="s">
        <v>22</v>
      </c>
      <c r="F336" t="s">
        <v>34</v>
      </c>
      <c r="G336" t="s">
        <v>35</v>
      </c>
      <c r="H336" t="s">
        <v>18</v>
      </c>
      <c r="I336" t="s">
        <v>87</v>
      </c>
      <c r="J336">
        <v>82.07</v>
      </c>
      <c r="K336">
        <v>4</v>
      </c>
      <c r="L336">
        <v>0.1</v>
      </c>
      <c r="M336">
        <v>11.97</v>
      </c>
    </row>
    <row r="337" spans="1:13">
      <c r="A337" t="s">
        <v>386</v>
      </c>
      <c r="B337" s="1">
        <v>45902.368737476849</v>
      </c>
      <c r="C337" s="1">
        <v>45903.368737476849</v>
      </c>
      <c r="D337" t="s">
        <v>14</v>
      </c>
      <c r="E337" t="s">
        <v>42</v>
      </c>
      <c r="F337" t="s">
        <v>23</v>
      </c>
      <c r="G337" t="s">
        <v>17</v>
      </c>
      <c r="H337" t="s">
        <v>39</v>
      </c>
      <c r="I337" t="s">
        <v>26</v>
      </c>
      <c r="J337">
        <v>911.03</v>
      </c>
      <c r="K337">
        <v>2</v>
      </c>
      <c r="L337">
        <v>0.1</v>
      </c>
      <c r="M337">
        <v>150.18</v>
      </c>
    </row>
    <row r="338" spans="1:13">
      <c r="A338" t="s">
        <v>387</v>
      </c>
      <c r="B338" s="1">
        <v>45903.098196388892</v>
      </c>
      <c r="C338" s="1">
        <v>45908.098196388892</v>
      </c>
      <c r="D338" t="s">
        <v>28</v>
      </c>
      <c r="E338" t="s">
        <v>15</v>
      </c>
      <c r="F338" t="s">
        <v>16</v>
      </c>
      <c r="G338" t="s">
        <v>35</v>
      </c>
      <c r="H338" t="s">
        <v>25</v>
      </c>
      <c r="I338" t="s">
        <v>64</v>
      </c>
      <c r="J338">
        <v>189.93</v>
      </c>
      <c r="K338">
        <v>1</v>
      </c>
      <c r="L338">
        <v>0.15</v>
      </c>
      <c r="M338">
        <v>6.45</v>
      </c>
    </row>
    <row r="339" spans="1:13">
      <c r="A339" t="s">
        <v>388</v>
      </c>
      <c r="B339" s="1">
        <v>45903.827655312503</v>
      </c>
      <c r="C339" s="1">
        <v>45904.827655312503</v>
      </c>
      <c r="D339" t="s">
        <v>63</v>
      </c>
      <c r="E339" t="s">
        <v>42</v>
      </c>
      <c r="F339" t="s">
        <v>23</v>
      </c>
      <c r="G339" t="s">
        <v>29</v>
      </c>
      <c r="H339" t="s">
        <v>36</v>
      </c>
      <c r="I339" t="s">
        <v>31</v>
      </c>
      <c r="J339">
        <v>123.84</v>
      </c>
      <c r="K339">
        <v>1</v>
      </c>
      <c r="L339">
        <v>0.2</v>
      </c>
      <c r="M339">
        <v>14.92</v>
      </c>
    </row>
    <row r="340" spans="1:13">
      <c r="A340" t="s">
        <v>389</v>
      </c>
      <c r="B340" s="1">
        <v>45904.557114224539</v>
      </c>
      <c r="C340" s="1">
        <v>45906.557114224539</v>
      </c>
      <c r="D340" t="s">
        <v>52</v>
      </c>
      <c r="E340" t="s">
        <v>15</v>
      </c>
      <c r="F340" t="s">
        <v>16</v>
      </c>
      <c r="G340" t="s">
        <v>29</v>
      </c>
      <c r="H340" t="s">
        <v>39</v>
      </c>
      <c r="I340" t="s">
        <v>19</v>
      </c>
      <c r="J340">
        <v>641.22</v>
      </c>
      <c r="K340">
        <v>4</v>
      </c>
      <c r="L340">
        <v>0.1</v>
      </c>
      <c r="M340">
        <v>31.53</v>
      </c>
    </row>
    <row r="341" spans="1:13">
      <c r="A341" t="s">
        <v>390</v>
      </c>
      <c r="B341" s="1">
        <v>45905.286573148151</v>
      </c>
      <c r="C341" s="1">
        <v>45911.286573148151</v>
      </c>
      <c r="D341" t="s">
        <v>21</v>
      </c>
      <c r="E341" t="s">
        <v>42</v>
      </c>
      <c r="F341" t="s">
        <v>16</v>
      </c>
      <c r="G341" t="s">
        <v>29</v>
      </c>
      <c r="H341" t="s">
        <v>30</v>
      </c>
      <c r="I341" t="s">
        <v>64</v>
      </c>
      <c r="J341">
        <v>788.62</v>
      </c>
      <c r="K341">
        <v>5</v>
      </c>
      <c r="L341">
        <v>0.3</v>
      </c>
      <c r="M341">
        <v>96.34</v>
      </c>
    </row>
    <row r="342" spans="1:13">
      <c r="A342" t="s">
        <v>391</v>
      </c>
      <c r="B342" s="1">
        <v>45906.016032060186</v>
      </c>
      <c r="C342" s="1">
        <v>45909.016032060186</v>
      </c>
      <c r="D342" t="s">
        <v>28</v>
      </c>
      <c r="E342" t="s">
        <v>22</v>
      </c>
      <c r="F342" t="s">
        <v>23</v>
      </c>
      <c r="G342" t="s">
        <v>24</v>
      </c>
      <c r="H342" t="s">
        <v>44</v>
      </c>
      <c r="I342" t="s">
        <v>45</v>
      </c>
      <c r="J342">
        <v>890.2</v>
      </c>
      <c r="K342">
        <v>3</v>
      </c>
      <c r="L342">
        <v>0</v>
      </c>
      <c r="M342">
        <v>86.93</v>
      </c>
    </row>
    <row r="343" spans="1:13">
      <c r="A343" t="s">
        <v>392</v>
      </c>
      <c r="B343" s="1">
        <v>45906.745490983798</v>
      </c>
      <c r="C343" s="1">
        <v>45910.745490983798</v>
      </c>
      <c r="D343" t="s">
        <v>14</v>
      </c>
      <c r="E343" t="s">
        <v>15</v>
      </c>
      <c r="F343" t="s">
        <v>34</v>
      </c>
      <c r="G343" t="s">
        <v>29</v>
      </c>
      <c r="H343" t="s">
        <v>30</v>
      </c>
      <c r="I343" t="s">
        <v>87</v>
      </c>
      <c r="J343">
        <v>73.52</v>
      </c>
      <c r="K343">
        <v>3</v>
      </c>
      <c r="L343">
        <v>0.05</v>
      </c>
      <c r="M343">
        <v>4.57</v>
      </c>
    </row>
    <row r="344" spans="1:13">
      <c r="A344" t="s">
        <v>393</v>
      </c>
      <c r="B344" s="1">
        <v>45907.474949895834</v>
      </c>
      <c r="C344" s="1">
        <v>45913.474949895834</v>
      </c>
      <c r="D344" t="s">
        <v>21</v>
      </c>
      <c r="E344" t="s">
        <v>42</v>
      </c>
      <c r="F344" t="s">
        <v>23</v>
      </c>
      <c r="G344" t="s">
        <v>29</v>
      </c>
      <c r="H344" t="s">
        <v>25</v>
      </c>
      <c r="I344" t="s">
        <v>55</v>
      </c>
      <c r="J344">
        <v>641.79</v>
      </c>
      <c r="K344">
        <v>5</v>
      </c>
      <c r="L344">
        <v>0.1</v>
      </c>
      <c r="M344">
        <v>24.49</v>
      </c>
    </row>
    <row r="345" spans="1:13">
      <c r="A345" t="s">
        <v>394</v>
      </c>
      <c r="B345" s="1">
        <v>45908.204408819445</v>
      </c>
      <c r="C345" s="1">
        <v>45910.204408819445</v>
      </c>
      <c r="D345" t="s">
        <v>21</v>
      </c>
      <c r="E345" t="s">
        <v>15</v>
      </c>
      <c r="F345" t="s">
        <v>34</v>
      </c>
      <c r="G345" t="s">
        <v>17</v>
      </c>
      <c r="H345" t="s">
        <v>18</v>
      </c>
      <c r="I345" t="s">
        <v>95</v>
      </c>
      <c r="J345">
        <v>23.7</v>
      </c>
      <c r="K345">
        <v>3</v>
      </c>
      <c r="L345">
        <v>0.05</v>
      </c>
      <c r="M345">
        <v>2.69</v>
      </c>
    </row>
    <row r="346" spans="1:13">
      <c r="A346" t="s">
        <v>395</v>
      </c>
      <c r="B346" s="1">
        <v>45908.933867731481</v>
      </c>
      <c r="C346" s="1">
        <v>45912.933867731481</v>
      </c>
      <c r="D346" t="s">
        <v>21</v>
      </c>
      <c r="E346" t="s">
        <v>42</v>
      </c>
      <c r="F346" t="s">
        <v>34</v>
      </c>
      <c r="G346" t="s">
        <v>24</v>
      </c>
      <c r="H346" t="s">
        <v>30</v>
      </c>
      <c r="I346" t="s">
        <v>40</v>
      </c>
      <c r="J346">
        <v>98.92</v>
      </c>
      <c r="K346">
        <v>7</v>
      </c>
      <c r="L346">
        <v>0.05</v>
      </c>
      <c r="M346">
        <v>18.12</v>
      </c>
    </row>
    <row r="347" spans="1:13">
      <c r="A347" t="s">
        <v>396</v>
      </c>
      <c r="B347" s="1">
        <v>45909.663326655093</v>
      </c>
      <c r="C347" s="1">
        <v>45912.663326655093</v>
      </c>
      <c r="D347" t="s">
        <v>33</v>
      </c>
      <c r="E347" t="s">
        <v>42</v>
      </c>
      <c r="F347" t="s">
        <v>23</v>
      </c>
      <c r="G347" t="s">
        <v>17</v>
      </c>
      <c r="H347" t="s">
        <v>44</v>
      </c>
      <c r="I347" t="s">
        <v>31</v>
      </c>
      <c r="J347">
        <v>265.31</v>
      </c>
      <c r="K347">
        <v>2</v>
      </c>
      <c r="L347">
        <v>0.15</v>
      </c>
      <c r="M347">
        <v>28.35</v>
      </c>
    </row>
    <row r="348" spans="1:13">
      <c r="A348" t="s">
        <v>397</v>
      </c>
      <c r="B348" s="1">
        <v>45910.392785567128</v>
      </c>
      <c r="C348" s="1">
        <v>45915.392785567128</v>
      </c>
      <c r="D348" t="s">
        <v>33</v>
      </c>
      <c r="E348" t="s">
        <v>42</v>
      </c>
      <c r="F348" t="s">
        <v>34</v>
      </c>
      <c r="G348" t="s">
        <v>17</v>
      </c>
      <c r="H348" t="s">
        <v>53</v>
      </c>
      <c r="I348" t="s">
        <v>37</v>
      </c>
      <c r="J348">
        <v>48.92</v>
      </c>
      <c r="K348">
        <v>6</v>
      </c>
      <c r="L348">
        <v>0.1</v>
      </c>
      <c r="M348">
        <v>5.46</v>
      </c>
    </row>
    <row r="349" spans="1:13">
      <c r="A349" t="s">
        <v>398</v>
      </c>
      <c r="B349" s="1">
        <v>45911.12224449074</v>
      </c>
      <c r="C349" s="1">
        <v>45912.12224449074</v>
      </c>
      <c r="D349" t="s">
        <v>14</v>
      </c>
      <c r="E349" t="s">
        <v>22</v>
      </c>
      <c r="F349" t="s">
        <v>16</v>
      </c>
      <c r="G349" t="s">
        <v>29</v>
      </c>
      <c r="H349" t="s">
        <v>49</v>
      </c>
      <c r="I349" t="s">
        <v>112</v>
      </c>
      <c r="J349">
        <v>57.27</v>
      </c>
      <c r="K349">
        <v>2</v>
      </c>
      <c r="L349">
        <v>0.3</v>
      </c>
      <c r="M349">
        <v>5.27</v>
      </c>
    </row>
    <row r="350" spans="1:13">
      <c r="A350" t="s">
        <v>399</v>
      </c>
      <c r="B350" s="1">
        <v>45911.851703402775</v>
      </c>
      <c r="C350" s="1">
        <v>45915.851703402775</v>
      </c>
      <c r="D350" t="s">
        <v>33</v>
      </c>
      <c r="E350" t="s">
        <v>15</v>
      </c>
      <c r="F350" t="s">
        <v>16</v>
      </c>
      <c r="G350" t="s">
        <v>29</v>
      </c>
      <c r="H350" t="s">
        <v>25</v>
      </c>
      <c r="I350" t="s">
        <v>112</v>
      </c>
      <c r="J350">
        <v>90.42</v>
      </c>
      <c r="K350">
        <v>2</v>
      </c>
      <c r="L350">
        <v>0.05</v>
      </c>
      <c r="M350">
        <v>7.93</v>
      </c>
    </row>
    <row r="351" spans="1:13">
      <c r="A351" t="s">
        <v>400</v>
      </c>
      <c r="B351" s="1">
        <v>45912.581162326387</v>
      </c>
      <c r="C351" s="1">
        <v>45915.581162326387</v>
      </c>
      <c r="D351" t="s">
        <v>14</v>
      </c>
      <c r="E351" t="s">
        <v>22</v>
      </c>
      <c r="F351" t="s">
        <v>34</v>
      </c>
      <c r="G351" t="s">
        <v>24</v>
      </c>
      <c r="H351" t="s">
        <v>18</v>
      </c>
      <c r="I351" t="s">
        <v>73</v>
      </c>
      <c r="J351">
        <v>21.02</v>
      </c>
      <c r="K351">
        <v>2</v>
      </c>
      <c r="L351">
        <v>0.2</v>
      </c>
      <c r="M351">
        <v>-0.11</v>
      </c>
    </row>
    <row r="352" spans="1:13">
      <c r="A352" t="s">
        <v>401</v>
      </c>
      <c r="B352" s="1">
        <v>45913.310621238423</v>
      </c>
      <c r="C352" s="1">
        <v>45918.310621238423</v>
      </c>
      <c r="D352" t="s">
        <v>14</v>
      </c>
      <c r="E352" t="s">
        <v>15</v>
      </c>
      <c r="F352" t="s">
        <v>16</v>
      </c>
      <c r="G352" t="s">
        <v>24</v>
      </c>
      <c r="H352" t="s">
        <v>49</v>
      </c>
      <c r="I352" t="s">
        <v>60</v>
      </c>
      <c r="J352">
        <v>2984.27</v>
      </c>
      <c r="K352">
        <v>6</v>
      </c>
      <c r="L352">
        <v>0.2</v>
      </c>
      <c r="M352">
        <v>480.71</v>
      </c>
    </row>
    <row r="353" spans="1:13">
      <c r="A353" t="s">
        <v>402</v>
      </c>
      <c r="B353" s="1">
        <v>45914.040080162034</v>
      </c>
      <c r="C353" s="1">
        <v>45916.040080162034</v>
      </c>
      <c r="D353" t="s">
        <v>33</v>
      </c>
      <c r="E353" t="s">
        <v>22</v>
      </c>
      <c r="F353" t="s">
        <v>16</v>
      </c>
      <c r="G353" t="s">
        <v>29</v>
      </c>
      <c r="H353" t="s">
        <v>25</v>
      </c>
      <c r="I353" t="s">
        <v>112</v>
      </c>
      <c r="J353">
        <v>133.11000000000001</v>
      </c>
      <c r="K353">
        <v>3</v>
      </c>
      <c r="L353">
        <v>0</v>
      </c>
      <c r="M353">
        <v>29.64</v>
      </c>
    </row>
    <row r="354" spans="1:13">
      <c r="A354" t="s">
        <v>403</v>
      </c>
      <c r="B354" s="1">
        <v>45914.769539074077</v>
      </c>
      <c r="C354" s="1">
        <v>45917.769539074077</v>
      </c>
      <c r="D354" t="s">
        <v>52</v>
      </c>
      <c r="E354" t="s">
        <v>42</v>
      </c>
      <c r="F354" t="s">
        <v>34</v>
      </c>
      <c r="G354" t="s">
        <v>24</v>
      </c>
      <c r="H354" t="s">
        <v>49</v>
      </c>
      <c r="I354" t="s">
        <v>40</v>
      </c>
      <c r="J354">
        <v>88.91</v>
      </c>
      <c r="K354">
        <v>7</v>
      </c>
      <c r="L354">
        <v>0.1</v>
      </c>
      <c r="M354">
        <v>6.31</v>
      </c>
    </row>
    <row r="355" spans="1:13">
      <c r="A355" t="s">
        <v>404</v>
      </c>
      <c r="B355" s="1">
        <v>45915.498997997682</v>
      </c>
      <c r="C355" s="1">
        <v>45920.498997997682</v>
      </c>
      <c r="D355" t="s">
        <v>28</v>
      </c>
      <c r="E355" t="s">
        <v>42</v>
      </c>
      <c r="F355" t="s">
        <v>16</v>
      </c>
      <c r="G355" t="s">
        <v>24</v>
      </c>
      <c r="H355" t="s">
        <v>44</v>
      </c>
      <c r="I355" t="s">
        <v>112</v>
      </c>
      <c r="J355">
        <v>186.1</v>
      </c>
      <c r="K355">
        <v>5</v>
      </c>
      <c r="L355">
        <v>0.1</v>
      </c>
      <c r="M355">
        <v>32.35</v>
      </c>
    </row>
    <row r="356" spans="1:13">
      <c r="A356" t="s">
        <v>405</v>
      </c>
      <c r="B356" s="1">
        <v>45916.228456909725</v>
      </c>
      <c r="C356" s="1">
        <v>45920.228456909725</v>
      </c>
      <c r="D356" t="s">
        <v>33</v>
      </c>
      <c r="E356" t="s">
        <v>22</v>
      </c>
      <c r="F356" t="s">
        <v>16</v>
      </c>
      <c r="G356" t="s">
        <v>35</v>
      </c>
      <c r="H356" t="s">
        <v>30</v>
      </c>
      <c r="I356" t="s">
        <v>47</v>
      </c>
      <c r="J356">
        <v>67</v>
      </c>
      <c r="K356">
        <v>3</v>
      </c>
      <c r="L356">
        <v>0.1</v>
      </c>
      <c r="M356">
        <v>2.2200000000000002</v>
      </c>
    </row>
    <row r="357" spans="1:13">
      <c r="A357" t="s">
        <v>406</v>
      </c>
      <c r="B357" s="1">
        <v>45916.957915833336</v>
      </c>
      <c r="C357" s="1">
        <v>45917.957915833336</v>
      </c>
      <c r="D357" t="s">
        <v>21</v>
      </c>
      <c r="E357" t="s">
        <v>15</v>
      </c>
      <c r="F357" t="s">
        <v>23</v>
      </c>
      <c r="G357" t="s">
        <v>35</v>
      </c>
      <c r="H357" t="s">
        <v>30</v>
      </c>
      <c r="I357" t="s">
        <v>31</v>
      </c>
      <c r="J357">
        <v>131.37</v>
      </c>
      <c r="K357">
        <v>1</v>
      </c>
      <c r="L357">
        <v>0.1</v>
      </c>
      <c r="M357">
        <v>11.85</v>
      </c>
    </row>
    <row r="358" spans="1:13">
      <c r="A358" t="s">
        <v>407</v>
      </c>
      <c r="B358" s="1">
        <v>45917.687374745372</v>
      </c>
      <c r="C358" s="1">
        <v>45921.687374745372</v>
      </c>
      <c r="D358" t="s">
        <v>52</v>
      </c>
      <c r="E358" t="s">
        <v>15</v>
      </c>
      <c r="F358" t="s">
        <v>16</v>
      </c>
      <c r="G358" t="s">
        <v>35</v>
      </c>
      <c r="H358" t="s">
        <v>25</v>
      </c>
      <c r="I358" t="s">
        <v>47</v>
      </c>
      <c r="J358">
        <v>54.62</v>
      </c>
      <c r="K358">
        <v>3</v>
      </c>
      <c r="L358">
        <v>0.2</v>
      </c>
      <c r="M358">
        <v>1.33</v>
      </c>
    </row>
    <row r="359" spans="1:13">
      <c r="A359" t="s">
        <v>408</v>
      </c>
      <c r="B359" s="1">
        <v>45918.416833668984</v>
      </c>
      <c r="C359" s="1">
        <v>45919.416833668984</v>
      </c>
      <c r="D359" t="s">
        <v>14</v>
      </c>
      <c r="E359" t="s">
        <v>15</v>
      </c>
      <c r="F359" t="s">
        <v>34</v>
      </c>
      <c r="G359" t="s">
        <v>29</v>
      </c>
      <c r="H359" t="s">
        <v>53</v>
      </c>
      <c r="I359" t="s">
        <v>95</v>
      </c>
      <c r="J359">
        <v>34.58</v>
      </c>
      <c r="K359">
        <v>5</v>
      </c>
      <c r="L359">
        <v>0.1</v>
      </c>
      <c r="M359">
        <v>2.89</v>
      </c>
    </row>
    <row r="360" spans="1:13">
      <c r="A360" t="s">
        <v>409</v>
      </c>
      <c r="B360" s="1">
        <v>45919.146292581019</v>
      </c>
      <c r="C360" s="1">
        <v>45924.146292581019</v>
      </c>
      <c r="D360" t="s">
        <v>52</v>
      </c>
      <c r="E360" t="s">
        <v>22</v>
      </c>
      <c r="F360" t="s">
        <v>16</v>
      </c>
      <c r="G360" t="s">
        <v>17</v>
      </c>
      <c r="H360" t="s">
        <v>53</v>
      </c>
      <c r="I360" t="s">
        <v>112</v>
      </c>
      <c r="J360">
        <v>293.70999999999998</v>
      </c>
      <c r="K360">
        <v>7</v>
      </c>
      <c r="L360">
        <v>0.15</v>
      </c>
      <c r="M360">
        <v>42.08</v>
      </c>
    </row>
    <row r="361" spans="1:13">
      <c r="A361" t="s">
        <v>410</v>
      </c>
      <c r="B361" s="1">
        <v>45919.875751504631</v>
      </c>
      <c r="C361" s="1">
        <v>45925.875751504631</v>
      </c>
      <c r="D361" t="s">
        <v>63</v>
      </c>
      <c r="E361" t="s">
        <v>22</v>
      </c>
      <c r="F361" t="s">
        <v>23</v>
      </c>
      <c r="G361" t="s">
        <v>35</v>
      </c>
      <c r="H361" t="s">
        <v>44</v>
      </c>
      <c r="I361" t="s">
        <v>55</v>
      </c>
      <c r="J361">
        <v>753.14</v>
      </c>
      <c r="K361">
        <v>7</v>
      </c>
      <c r="L361">
        <v>0.15</v>
      </c>
      <c r="M361">
        <v>42.12</v>
      </c>
    </row>
    <row r="362" spans="1:13">
      <c r="A362" t="s">
        <v>411</v>
      </c>
      <c r="B362" s="1">
        <v>45920.605210416667</v>
      </c>
      <c r="C362" s="1">
        <v>45925.605210416667</v>
      </c>
      <c r="D362" t="s">
        <v>33</v>
      </c>
      <c r="E362" t="s">
        <v>42</v>
      </c>
      <c r="F362" t="s">
        <v>16</v>
      </c>
      <c r="G362" t="s">
        <v>24</v>
      </c>
      <c r="H362" t="s">
        <v>53</v>
      </c>
      <c r="I362" t="s">
        <v>60</v>
      </c>
      <c r="J362">
        <v>561.20000000000005</v>
      </c>
      <c r="K362">
        <v>1</v>
      </c>
      <c r="L362">
        <v>0.1</v>
      </c>
      <c r="M362">
        <v>86.2</v>
      </c>
    </row>
    <row r="363" spans="1:13">
      <c r="A363" t="s">
        <v>412</v>
      </c>
      <c r="B363" s="1">
        <v>45921.334669340278</v>
      </c>
      <c r="C363" s="1">
        <v>45924.334669340278</v>
      </c>
      <c r="D363" t="s">
        <v>52</v>
      </c>
      <c r="E363" t="s">
        <v>22</v>
      </c>
      <c r="F363" t="s">
        <v>34</v>
      </c>
      <c r="G363" t="s">
        <v>35</v>
      </c>
      <c r="H363" t="s">
        <v>39</v>
      </c>
      <c r="I363" t="s">
        <v>37</v>
      </c>
      <c r="J363">
        <v>27.71</v>
      </c>
      <c r="K363">
        <v>4</v>
      </c>
      <c r="L363">
        <v>0.3</v>
      </c>
      <c r="M363">
        <v>-0.45</v>
      </c>
    </row>
    <row r="364" spans="1:13">
      <c r="A364" t="s">
        <v>413</v>
      </c>
      <c r="B364" s="1">
        <v>45922.064128252314</v>
      </c>
      <c r="C364" s="1">
        <v>45923.064128252314</v>
      </c>
      <c r="D364" t="s">
        <v>33</v>
      </c>
      <c r="E364" t="s">
        <v>42</v>
      </c>
      <c r="F364" t="s">
        <v>16</v>
      </c>
      <c r="G364" t="s">
        <v>29</v>
      </c>
      <c r="H364" t="s">
        <v>25</v>
      </c>
      <c r="I364" t="s">
        <v>19</v>
      </c>
      <c r="J364">
        <v>929.73</v>
      </c>
      <c r="K364">
        <v>6</v>
      </c>
      <c r="L364">
        <v>0.05</v>
      </c>
      <c r="M364">
        <v>48.2</v>
      </c>
    </row>
    <row r="365" spans="1:13">
      <c r="A365" t="s">
        <v>414</v>
      </c>
      <c r="B365" s="1">
        <v>45922.793587175925</v>
      </c>
      <c r="C365" s="1">
        <v>45923.793587175925</v>
      </c>
      <c r="D365" t="s">
        <v>63</v>
      </c>
      <c r="E365" t="s">
        <v>15</v>
      </c>
      <c r="F365" t="s">
        <v>34</v>
      </c>
      <c r="G365" t="s">
        <v>29</v>
      </c>
      <c r="H365" t="s">
        <v>39</v>
      </c>
      <c r="I365" t="s">
        <v>37</v>
      </c>
      <c r="J365">
        <v>8.89</v>
      </c>
      <c r="K365">
        <v>1</v>
      </c>
      <c r="L365">
        <v>0.15</v>
      </c>
      <c r="M365">
        <v>0.97</v>
      </c>
    </row>
    <row r="366" spans="1:13">
      <c r="A366" t="s">
        <v>415</v>
      </c>
      <c r="B366" s="1">
        <v>45923.523046087961</v>
      </c>
      <c r="C366" s="1">
        <v>45926.523046087961</v>
      </c>
      <c r="D366" t="s">
        <v>52</v>
      </c>
      <c r="E366" t="s">
        <v>42</v>
      </c>
      <c r="F366" t="s">
        <v>23</v>
      </c>
      <c r="G366" t="s">
        <v>24</v>
      </c>
      <c r="H366" t="s">
        <v>30</v>
      </c>
      <c r="I366" t="s">
        <v>26</v>
      </c>
      <c r="J366">
        <v>2890.28</v>
      </c>
      <c r="K366">
        <v>8</v>
      </c>
      <c r="L366">
        <v>0.2</v>
      </c>
      <c r="M366">
        <v>378.02</v>
      </c>
    </row>
    <row r="367" spans="1:13">
      <c r="A367" t="s">
        <v>416</v>
      </c>
      <c r="B367" s="1">
        <v>45924.252505011573</v>
      </c>
      <c r="C367" s="1">
        <v>45925.252505011573</v>
      </c>
      <c r="D367" t="s">
        <v>14</v>
      </c>
      <c r="E367" t="s">
        <v>22</v>
      </c>
      <c r="F367" t="s">
        <v>34</v>
      </c>
      <c r="G367" t="s">
        <v>24</v>
      </c>
      <c r="H367" t="s">
        <v>18</v>
      </c>
      <c r="I367" t="s">
        <v>40</v>
      </c>
      <c r="J367">
        <v>108.47</v>
      </c>
      <c r="K367">
        <v>8</v>
      </c>
      <c r="L367">
        <v>0.15</v>
      </c>
      <c r="M367">
        <v>11.48</v>
      </c>
    </row>
    <row r="368" spans="1:13">
      <c r="A368" t="s">
        <v>417</v>
      </c>
      <c r="B368" s="1">
        <v>45924.981963923608</v>
      </c>
      <c r="C368" s="1">
        <v>45927.981963923608</v>
      </c>
      <c r="D368" t="s">
        <v>14</v>
      </c>
      <c r="E368" t="s">
        <v>42</v>
      </c>
      <c r="F368" t="s">
        <v>34</v>
      </c>
      <c r="G368" t="s">
        <v>24</v>
      </c>
      <c r="H368" t="s">
        <v>25</v>
      </c>
      <c r="I368" t="s">
        <v>95</v>
      </c>
      <c r="J368">
        <v>54.97</v>
      </c>
      <c r="K368">
        <v>8</v>
      </c>
      <c r="L368">
        <v>0.15</v>
      </c>
      <c r="M368">
        <v>4.34</v>
      </c>
    </row>
    <row r="369" spans="1:13">
      <c r="A369" t="s">
        <v>418</v>
      </c>
      <c r="B369" s="1">
        <v>45925.71142284722</v>
      </c>
      <c r="C369" s="1">
        <v>45931.71142284722</v>
      </c>
      <c r="D369" t="s">
        <v>14</v>
      </c>
      <c r="E369" t="s">
        <v>42</v>
      </c>
      <c r="F369" t="s">
        <v>34</v>
      </c>
      <c r="G369" t="s">
        <v>17</v>
      </c>
      <c r="H369" t="s">
        <v>39</v>
      </c>
      <c r="I369" t="s">
        <v>40</v>
      </c>
      <c r="J369">
        <v>106.06</v>
      </c>
      <c r="K369">
        <v>7</v>
      </c>
      <c r="L369">
        <v>0.05</v>
      </c>
      <c r="M369">
        <v>14.08</v>
      </c>
    </row>
    <row r="370" spans="1:13">
      <c r="A370" t="s">
        <v>419</v>
      </c>
      <c r="B370" s="1">
        <v>45926.440881759256</v>
      </c>
      <c r="C370" s="1">
        <v>45932.440881759256</v>
      </c>
      <c r="D370" t="s">
        <v>33</v>
      </c>
      <c r="E370" t="s">
        <v>15</v>
      </c>
      <c r="F370" t="s">
        <v>34</v>
      </c>
      <c r="G370" t="s">
        <v>24</v>
      </c>
      <c r="H370" t="s">
        <v>49</v>
      </c>
      <c r="I370" t="s">
        <v>87</v>
      </c>
      <c r="J370">
        <v>77.38</v>
      </c>
      <c r="K370">
        <v>4</v>
      </c>
      <c r="L370">
        <v>0.15</v>
      </c>
      <c r="M370">
        <v>8.23</v>
      </c>
    </row>
    <row r="371" spans="1:13">
      <c r="A371" t="s">
        <v>420</v>
      </c>
      <c r="B371" s="1">
        <v>45927.170340682867</v>
      </c>
      <c r="C371" s="1">
        <v>45930.170340682867</v>
      </c>
      <c r="D371" t="s">
        <v>63</v>
      </c>
      <c r="E371" t="s">
        <v>42</v>
      </c>
      <c r="F371" t="s">
        <v>23</v>
      </c>
      <c r="G371" t="s">
        <v>29</v>
      </c>
      <c r="H371" t="s">
        <v>44</v>
      </c>
      <c r="I371" t="s">
        <v>45</v>
      </c>
      <c r="J371">
        <v>290.41000000000003</v>
      </c>
      <c r="K371">
        <v>1</v>
      </c>
      <c r="L371">
        <v>0.1</v>
      </c>
      <c r="M371">
        <v>38.909999999999997</v>
      </c>
    </row>
    <row r="372" spans="1:13">
      <c r="A372" t="s">
        <v>421</v>
      </c>
      <c r="B372" s="1">
        <v>45927.89979959491</v>
      </c>
      <c r="C372" s="1">
        <v>45932.89979959491</v>
      </c>
      <c r="D372" t="s">
        <v>28</v>
      </c>
      <c r="E372" t="s">
        <v>42</v>
      </c>
      <c r="F372" t="s">
        <v>16</v>
      </c>
      <c r="G372" t="s">
        <v>35</v>
      </c>
      <c r="H372" t="s">
        <v>39</v>
      </c>
      <c r="I372" t="s">
        <v>19</v>
      </c>
      <c r="J372">
        <v>526.38</v>
      </c>
      <c r="K372">
        <v>3</v>
      </c>
      <c r="L372">
        <v>0</v>
      </c>
      <c r="M372">
        <v>121.07</v>
      </c>
    </row>
    <row r="373" spans="1:13">
      <c r="A373" t="s">
        <v>422</v>
      </c>
      <c r="B373" s="1">
        <v>45928.629258518522</v>
      </c>
      <c r="C373" s="1">
        <v>45930.629258518522</v>
      </c>
      <c r="D373" t="s">
        <v>21</v>
      </c>
      <c r="E373" t="s">
        <v>22</v>
      </c>
      <c r="F373" t="s">
        <v>16</v>
      </c>
      <c r="G373" t="s">
        <v>24</v>
      </c>
      <c r="H373" t="s">
        <v>44</v>
      </c>
      <c r="I373" t="s">
        <v>112</v>
      </c>
      <c r="J373">
        <v>281.60000000000002</v>
      </c>
      <c r="K373">
        <v>8</v>
      </c>
      <c r="L373">
        <v>0.15</v>
      </c>
      <c r="M373">
        <v>16.2</v>
      </c>
    </row>
    <row r="374" spans="1:13">
      <c r="A374" t="s">
        <v>423</v>
      </c>
      <c r="B374" s="1">
        <v>45929.358717430558</v>
      </c>
      <c r="C374" s="1">
        <v>45935.358717430558</v>
      </c>
      <c r="D374" t="s">
        <v>63</v>
      </c>
      <c r="E374" t="s">
        <v>22</v>
      </c>
      <c r="F374" t="s">
        <v>16</v>
      </c>
      <c r="G374" t="s">
        <v>29</v>
      </c>
      <c r="H374" t="s">
        <v>36</v>
      </c>
      <c r="I374" t="s">
        <v>19</v>
      </c>
      <c r="J374">
        <v>393.89</v>
      </c>
      <c r="K374">
        <v>2</v>
      </c>
      <c r="L374">
        <v>0</v>
      </c>
      <c r="M374">
        <v>31.67</v>
      </c>
    </row>
    <row r="375" spans="1:13">
      <c r="A375" t="s">
        <v>424</v>
      </c>
      <c r="B375" s="1">
        <v>45930.088176354169</v>
      </c>
      <c r="C375" s="1">
        <v>45932.088176354169</v>
      </c>
      <c r="D375" t="s">
        <v>63</v>
      </c>
      <c r="E375" t="s">
        <v>15</v>
      </c>
      <c r="F375" t="s">
        <v>23</v>
      </c>
      <c r="G375" t="s">
        <v>17</v>
      </c>
      <c r="H375" t="s">
        <v>36</v>
      </c>
      <c r="I375" t="s">
        <v>31</v>
      </c>
      <c r="J375">
        <v>395.2</v>
      </c>
      <c r="K375">
        <v>3</v>
      </c>
      <c r="L375">
        <v>0.1</v>
      </c>
      <c r="M375">
        <v>52.95</v>
      </c>
    </row>
    <row r="376" spans="1:13">
      <c r="A376" t="s">
        <v>425</v>
      </c>
      <c r="B376" s="1">
        <v>45930.817635266205</v>
      </c>
      <c r="C376" s="1">
        <v>45935.817635266205</v>
      </c>
      <c r="D376" t="s">
        <v>52</v>
      </c>
      <c r="E376" t="s">
        <v>15</v>
      </c>
      <c r="F376" t="s">
        <v>16</v>
      </c>
      <c r="G376" t="s">
        <v>24</v>
      </c>
      <c r="H376" t="s">
        <v>30</v>
      </c>
      <c r="I376" t="s">
        <v>64</v>
      </c>
      <c r="J376">
        <v>943.15</v>
      </c>
      <c r="K376">
        <v>6</v>
      </c>
      <c r="L376">
        <v>0.3</v>
      </c>
      <c r="M376">
        <v>-29.37</v>
      </c>
    </row>
    <row r="377" spans="1:13">
      <c r="A377" t="s">
        <v>426</v>
      </c>
      <c r="B377" s="1">
        <v>45931.547094189817</v>
      </c>
      <c r="C377" s="1">
        <v>45937.547094189817</v>
      </c>
      <c r="D377" t="s">
        <v>14</v>
      </c>
      <c r="E377" t="s">
        <v>42</v>
      </c>
      <c r="F377" t="s">
        <v>34</v>
      </c>
      <c r="G377" t="s">
        <v>35</v>
      </c>
      <c r="H377" t="s">
        <v>49</v>
      </c>
      <c r="I377" t="s">
        <v>37</v>
      </c>
      <c r="J377">
        <v>40.43</v>
      </c>
      <c r="K377">
        <v>4</v>
      </c>
      <c r="L377">
        <v>0</v>
      </c>
      <c r="M377">
        <v>7.1</v>
      </c>
    </row>
    <row r="378" spans="1:13">
      <c r="A378" t="s">
        <v>427</v>
      </c>
      <c r="B378" s="1">
        <v>45932.276553101852</v>
      </c>
      <c r="C378" s="1">
        <v>45936.276553101852</v>
      </c>
      <c r="D378" t="s">
        <v>21</v>
      </c>
      <c r="E378" t="s">
        <v>22</v>
      </c>
      <c r="F378" t="s">
        <v>34</v>
      </c>
      <c r="G378" t="s">
        <v>17</v>
      </c>
      <c r="H378" t="s">
        <v>53</v>
      </c>
      <c r="I378" t="s">
        <v>73</v>
      </c>
      <c r="J378">
        <v>83.17</v>
      </c>
      <c r="K378">
        <v>8</v>
      </c>
      <c r="L378">
        <v>0.1</v>
      </c>
      <c r="M378">
        <v>6.14</v>
      </c>
    </row>
    <row r="379" spans="1:13">
      <c r="A379" t="s">
        <v>428</v>
      </c>
      <c r="B379" s="1">
        <v>45933.006012025464</v>
      </c>
      <c r="C379" s="1">
        <v>45938.006012025464</v>
      </c>
      <c r="D379" t="s">
        <v>14</v>
      </c>
      <c r="E379" t="s">
        <v>42</v>
      </c>
      <c r="F379" t="s">
        <v>16</v>
      </c>
      <c r="G379" t="s">
        <v>17</v>
      </c>
      <c r="H379" t="s">
        <v>36</v>
      </c>
      <c r="I379" t="s">
        <v>60</v>
      </c>
      <c r="J379">
        <v>1102.8599999999999</v>
      </c>
      <c r="K379">
        <v>2</v>
      </c>
      <c r="L379">
        <v>0.1</v>
      </c>
      <c r="M379">
        <v>213.99</v>
      </c>
    </row>
    <row r="380" spans="1:13">
      <c r="A380" t="s">
        <v>429</v>
      </c>
      <c r="B380" s="1">
        <v>45933.735470937499</v>
      </c>
      <c r="C380" s="1">
        <v>45934.735470937499</v>
      </c>
      <c r="D380" t="s">
        <v>28</v>
      </c>
      <c r="E380" t="s">
        <v>15</v>
      </c>
      <c r="F380" t="s">
        <v>16</v>
      </c>
      <c r="G380" t="s">
        <v>24</v>
      </c>
      <c r="H380" t="s">
        <v>36</v>
      </c>
      <c r="I380" t="s">
        <v>19</v>
      </c>
      <c r="J380">
        <v>633.17999999999995</v>
      </c>
      <c r="K380">
        <v>4</v>
      </c>
      <c r="L380">
        <v>0.1</v>
      </c>
      <c r="M380">
        <v>122.54</v>
      </c>
    </row>
    <row r="381" spans="1:13">
      <c r="A381" t="s">
        <v>430</v>
      </c>
      <c r="B381" s="1">
        <v>45934.464929861111</v>
      </c>
      <c r="C381" s="1">
        <v>45935.464929861111</v>
      </c>
      <c r="D381" t="s">
        <v>21</v>
      </c>
      <c r="E381" t="s">
        <v>42</v>
      </c>
      <c r="F381" t="s">
        <v>23</v>
      </c>
      <c r="G381" t="s">
        <v>35</v>
      </c>
      <c r="H381" t="s">
        <v>30</v>
      </c>
      <c r="I381" t="s">
        <v>31</v>
      </c>
      <c r="J381">
        <v>993.11</v>
      </c>
      <c r="K381">
        <v>6</v>
      </c>
      <c r="L381">
        <v>0</v>
      </c>
      <c r="M381">
        <v>234.24</v>
      </c>
    </row>
    <row r="382" spans="1:13">
      <c r="A382" t="s">
        <v>431</v>
      </c>
      <c r="B382" s="1">
        <v>45935.194388773147</v>
      </c>
      <c r="C382" s="1">
        <v>45939.194388773147</v>
      </c>
      <c r="D382" t="s">
        <v>33</v>
      </c>
      <c r="E382" t="s">
        <v>15</v>
      </c>
      <c r="F382" t="s">
        <v>16</v>
      </c>
      <c r="G382" t="s">
        <v>24</v>
      </c>
      <c r="H382" t="s">
        <v>49</v>
      </c>
      <c r="I382" t="s">
        <v>47</v>
      </c>
      <c r="J382">
        <v>79.61</v>
      </c>
      <c r="K382">
        <v>3</v>
      </c>
      <c r="L382">
        <v>0</v>
      </c>
      <c r="M382">
        <v>17.12</v>
      </c>
    </row>
    <row r="383" spans="1:13">
      <c r="A383" t="s">
        <v>432</v>
      </c>
      <c r="B383" s="1">
        <v>45935.923847696758</v>
      </c>
      <c r="C383" s="1">
        <v>45940.923847696758</v>
      </c>
      <c r="D383" t="s">
        <v>63</v>
      </c>
      <c r="E383" t="s">
        <v>22</v>
      </c>
      <c r="F383" t="s">
        <v>16</v>
      </c>
      <c r="G383" t="s">
        <v>35</v>
      </c>
      <c r="H383" t="s">
        <v>39</v>
      </c>
      <c r="I383" t="s">
        <v>47</v>
      </c>
      <c r="J383">
        <v>23.27</v>
      </c>
      <c r="K383">
        <v>1</v>
      </c>
      <c r="L383">
        <v>0.1</v>
      </c>
      <c r="M383">
        <v>3.52</v>
      </c>
    </row>
    <row r="384" spans="1:13">
      <c r="A384" t="s">
        <v>433</v>
      </c>
      <c r="B384" s="1">
        <v>45936.653306608794</v>
      </c>
      <c r="C384" s="1">
        <v>45939.653306608794</v>
      </c>
      <c r="D384" t="s">
        <v>33</v>
      </c>
      <c r="E384" t="s">
        <v>42</v>
      </c>
      <c r="F384" t="s">
        <v>34</v>
      </c>
      <c r="G384" t="s">
        <v>35</v>
      </c>
      <c r="H384" t="s">
        <v>30</v>
      </c>
      <c r="I384" t="s">
        <v>73</v>
      </c>
      <c r="J384">
        <v>10.99</v>
      </c>
      <c r="K384">
        <v>1</v>
      </c>
      <c r="L384">
        <v>0</v>
      </c>
      <c r="M384">
        <v>2.46</v>
      </c>
    </row>
    <row r="385" spans="1:13">
      <c r="A385" t="s">
        <v>434</v>
      </c>
      <c r="B385" s="1">
        <v>45937.382765532406</v>
      </c>
      <c r="C385" s="1">
        <v>45943.382765532406</v>
      </c>
      <c r="D385" t="s">
        <v>14</v>
      </c>
      <c r="E385" t="s">
        <v>15</v>
      </c>
      <c r="F385" t="s">
        <v>23</v>
      </c>
      <c r="G385" t="s">
        <v>35</v>
      </c>
      <c r="H385" t="s">
        <v>18</v>
      </c>
      <c r="I385" t="s">
        <v>55</v>
      </c>
      <c r="J385">
        <v>1221.1300000000001</v>
      </c>
      <c r="K385">
        <v>8</v>
      </c>
      <c r="L385">
        <v>0</v>
      </c>
      <c r="M385">
        <v>257.57</v>
      </c>
    </row>
    <row r="386" spans="1:13">
      <c r="A386" t="s">
        <v>435</v>
      </c>
      <c r="B386" s="1">
        <v>45938.112224444441</v>
      </c>
      <c r="C386" s="1">
        <v>45941.112224444441</v>
      </c>
      <c r="D386" t="s">
        <v>52</v>
      </c>
      <c r="E386" t="s">
        <v>42</v>
      </c>
      <c r="F386" t="s">
        <v>34</v>
      </c>
      <c r="G386" t="s">
        <v>24</v>
      </c>
      <c r="H386" t="s">
        <v>53</v>
      </c>
      <c r="I386" t="s">
        <v>37</v>
      </c>
      <c r="J386">
        <v>17.11</v>
      </c>
      <c r="K386">
        <v>2</v>
      </c>
      <c r="L386">
        <v>0.1</v>
      </c>
      <c r="M386">
        <v>3.47</v>
      </c>
    </row>
    <row r="387" spans="1:13">
      <c r="A387" t="s">
        <v>436</v>
      </c>
      <c r="B387" s="1">
        <v>45938.841683368053</v>
      </c>
      <c r="C387" s="1">
        <v>45943.841683368053</v>
      </c>
      <c r="D387" t="s">
        <v>63</v>
      </c>
      <c r="E387" t="s">
        <v>42</v>
      </c>
      <c r="F387" t="s">
        <v>16</v>
      </c>
      <c r="G387" t="s">
        <v>17</v>
      </c>
      <c r="H387" t="s">
        <v>49</v>
      </c>
      <c r="I387" t="s">
        <v>112</v>
      </c>
      <c r="J387">
        <v>45.87</v>
      </c>
      <c r="K387">
        <v>1</v>
      </c>
      <c r="L387">
        <v>0.05</v>
      </c>
      <c r="M387">
        <v>9.51</v>
      </c>
    </row>
    <row r="388" spans="1:13">
      <c r="A388" t="s">
        <v>437</v>
      </c>
      <c r="B388" s="1">
        <v>45939.571142280096</v>
      </c>
      <c r="C388" s="1">
        <v>45943.571142280096</v>
      </c>
      <c r="D388" t="s">
        <v>21</v>
      </c>
      <c r="E388" t="s">
        <v>15</v>
      </c>
      <c r="F388" t="s">
        <v>23</v>
      </c>
      <c r="G388" t="s">
        <v>24</v>
      </c>
      <c r="H388" t="s">
        <v>39</v>
      </c>
      <c r="I388" t="s">
        <v>31</v>
      </c>
      <c r="J388">
        <v>316.49</v>
      </c>
      <c r="K388">
        <v>2</v>
      </c>
      <c r="L388">
        <v>0.05</v>
      </c>
      <c r="M388">
        <v>37.81</v>
      </c>
    </row>
    <row r="389" spans="1:13">
      <c r="A389" t="s">
        <v>438</v>
      </c>
      <c r="B389" s="1">
        <v>45940.3006012037</v>
      </c>
      <c r="C389" s="1">
        <v>45944.3006012037</v>
      </c>
      <c r="D389" t="s">
        <v>52</v>
      </c>
      <c r="E389" t="s">
        <v>15</v>
      </c>
      <c r="F389" t="s">
        <v>16</v>
      </c>
      <c r="G389" t="s">
        <v>24</v>
      </c>
      <c r="H389" t="s">
        <v>49</v>
      </c>
      <c r="I389" t="s">
        <v>64</v>
      </c>
      <c r="J389">
        <v>1446.59</v>
      </c>
      <c r="K389">
        <v>7</v>
      </c>
      <c r="L389">
        <v>0.05</v>
      </c>
      <c r="M389">
        <v>67.19</v>
      </c>
    </row>
    <row r="390" spans="1:13">
      <c r="A390" t="s">
        <v>439</v>
      </c>
      <c r="B390" s="1">
        <v>45941.030060115743</v>
      </c>
      <c r="C390" s="1">
        <v>45943.030060115743</v>
      </c>
      <c r="D390" t="s">
        <v>63</v>
      </c>
      <c r="E390" t="s">
        <v>22</v>
      </c>
      <c r="F390" t="s">
        <v>23</v>
      </c>
      <c r="G390" t="s">
        <v>29</v>
      </c>
      <c r="H390" t="s">
        <v>30</v>
      </c>
      <c r="I390" t="s">
        <v>26</v>
      </c>
      <c r="J390">
        <v>2105.7800000000002</v>
      </c>
      <c r="K390">
        <v>4</v>
      </c>
      <c r="L390">
        <v>0</v>
      </c>
      <c r="M390">
        <v>281.63</v>
      </c>
    </row>
    <row r="391" spans="1:13">
      <c r="A391" t="s">
        <v>440</v>
      </c>
      <c r="B391" s="1">
        <v>45941.759519039355</v>
      </c>
      <c r="C391" s="1">
        <v>45944.759519039355</v>
      </c>
      <c r="D391" t="s">
        <v>33</v>
      </c>
      <c r="E391" t="s">
        <v>15</v>
      </c>
      <c r="F391" t="s">
        <v>16</v>
      </c>
      <c r="G391" t="s">
        <v>17</v>
      </c>
      <c r="H391" t="s">
        <v>49</v>
      </c>
      <c r="I391" t="s">
        <v>19</v>
      </c>
      <c r="J391">
        <v>832.71</v>
      </c>
      <c r="K391">
        <v>5</v>
      </c>
      <c r="L391">
        <v>0.15</v>
      </c>
      <c r="M391">
        <v>118.18</v>
      </c>
    </row>
    <row r="392" spans="1:13">
      <c r="A392" t="s">
        <v>441</v>
      </c>
      <c r="B392" s="1">
        <v>45942.488977951391</v>
      </c>
      <c r="C392" s="1">
        <v>45943.488977951391</v>
      </c>
      <c r="D392" t="s">
        <v>33</v>
      </c>
      <c r="E392" t="s">
        <v>22</v>
      </c>
      <c r="F392" t="s">
        <v>16</v>
      </c>
      <c r="G392" t="s">
        <v>35</v>
      </c>
      <c r="H392" t="s">
        <v>36</v>
      </c>
      <c r="I392" t="s">
        <v>19</v>
      </c>
      <c r="J392">
        <v>162.44999999999999</v>
      </c>
      <c r="K392">
        <v>1</v>
      </c>
      <c r="L392">
        <v>0.05</v>
      </c>
      <c r="M392">
        <v>21.96</v>
      </c>
    </row>
    <row r="393" spans="1:13">
      <c r="A393" t="s">
        <v>442</v>
      </c>
      <c r="B393" s="1">
        <v>45943.218436875002</v>
      </c>
      <c r="C393" s="1">
        <v>45947.218436875002</v>
      </c>
      <c r="D393" t="s">
        <v>52</v>
      </c>
      <c r="E393" t="s">
        <v>42</v>
      </c>
      <c r="F393" t="s">
        <v>34</v>
      </c>
      <c r="G393" t="s">
        <v>24</v>
      </c>
      <c r="H393" t="s">
        <v>36</v>
      </c>
      <c r="I393" t="s">
        <v>73</v>
      </c>
      <c r="J393">
        <v>61.72</v>
      </c>
      <c r="K393">
        <v>5</v>
      </c>
      <c r="L393">
        <v>0.05</v>
      </c>
      <c r="M393">
        <v>13.21</v>
      </c>
    </row>
    <row r="394" spans="1:13">
      <c r="A394" t="s">
        <v>443</v>
      </c>
      <c r="B394" s="1">
        <v>45943.947895787038</v>
      </c>
      <c r="C394" s="1">
        <v>45946.947895787038</v>
      </c>
      <c r="D394" t="s">
        <v>52</v>
      </c>
      <c r="E394" t="s">
        <v>22</v>
      </c>
      <c r="F394" t="s">
        <v>16</v>
      </c>
      <c r="G394" t="s">
        <v>29</v>
      </c>
      <c r="H394" t="s">
        <v>18</v>
      </c>
      <c r="I394" t="s">
        <v>60</v>
      </c>
      <c r="J394">
        <v>636.04999999999995</v>
      </c>
      <c r="K394">
        <v>1</v>
      </c>
      <c r="L394">
        <v>0</v>
      </c>
      <c r="M394">
        <v>101.52</v>
      </c>
    </row>
    <row r="395" spans="1:13">
      <c r="A395" t="s">
        <v>444</v>
      </c>
      <c r="B395" s="1">
        <v>45944.67735471065</v>
      </c>
      <c r="C395" s="1">
        <v>45950.67735471065</v>
      </c>
      <c r="D395" t="s">
        <v>63</v>
      </c>
      <c r="E395" t="s">
        <v>22</v>
      </c>
      <c r="F395" t="s">
        <v>34</v>
      </c>
      <c r="G395" t="s">
        <v>35</v>
      </c>
      <c r="H395" t="s">
        <v>18</v>
      </c>
      <c r="I395" t="s">
        <v>73</v>
      </c>
      <c r="J395">
        <v>40.31</v>
      </c>
      <c r="K395">
        <v>4</v>
      </c>
      <c r="L395">
        <v>0.2</v>
      </c>
      <c r="M395">
        <v>2.78</v>
      </c>
    </row>
    <row r="396" spans="1:13">
      <c r="A396" t="s">
        <v>445</v>
      </c>
      <c r="B396" s="1">
        <v>45945.406813622685</v>
      </c>
      <c r="C396" s="1">
        <v>45950.406813622685</v>
      </c>
      <c r="D396" t="s">
        <v>21</v>
      </c>
      <c r="E396" t="s">
        <v>22</v>
      </c>
      <c r="F396" t="s">
        <v>23</v>
      </c>
      <c r="G396" t="s">
        <v>29</v>
      </c>
      <c r="H396" t="s">
        <v>25</v>
      </c>
      <c r="I396" t="s">
        <v>26</v>
      </c>
      <c r="J396">
        <v>2843.94</v>
      </c>
      <c r="K396">
        <v>6</v>
      </c>
      <c r="L396">
        <v>0.05</v>
      </c>
      <c r="M396">
        <v>340.79</v>
      </c>
    </row>
    <row r="397" spans="1:13">
      <c r="A397" t="s">
        <v>446</v>
      </c>
      <c r="B397" s="1">
        <v>45946.136272546297</v>
      </c>
      <c r="C397" s="1">
        <v>45948.136272546297</v>
      </c>
      <c r="D397" t="s">
        <v>14</v>
      </c>
      <c r="E397" t="s">
        <v>42</v>
      </c>
      <c r="F397" t="s">
        <v>23</v>
      </c>
      <c r="G397" t="s">
        <v>29</v>
      </c>
      <c r="H397" t="s">
        <v>36</v>
      </c>
      <c r="I397" t="s">
        <v>45</v>
      </c>
      <c r="J397">
        <v>1626.89</v>
      </c>
      <c r="K397">
        <v>6</v>
      </c>
      <c r="L397">
        <v>0</v>
      </c>
      <c r="M397">
        <v>146.15</v>
      </c>
    </row>
    <row r="398" spans="1:13">
      <c r="A398" t="s">
        <v>447</v>
      </c>
      <c r="B398" s="1">
        <v>45946.865731458332</v>
      </c>
      <c r="C398" s="1">
        <v>45952.865731458332</v>
      </c>
      <c r="D398" t="s">
        <v>14</v>
      </c>
      <c r="E398" t="s">
        <v>42</v>
      </c>
      <c r="F398" t="s">
        <v>23</v>
      </c>
      <c r="G398" t="s">
        <v>35</v>
      </c>
      <c r="H398" t="s">
        <v>30</v>
      </c>
      <c r="I398" t="s">
        <v>55</v>
      </c>
      <c r="J398">
        <v>527.73</v>
      </c>
      <c r="K398">
        <v>4</v>
      </c>
      <c r="L398">
        <v>0</v>
      </c>
      <c r="M398">
        <v>61.21</v>
      </c>
    </row>
    <row r="399" spans="1:13">
      <c r="A399" t="s">
        <v>448</v>
      </c>
      <c r="B399" s="1">
        <v>45947.595190381944</v>
      </c>
      <c r="C399" s="1">
        <v>45950.595190381944</v>
      </c>
      <c r="D399" t="s">
        <v>21</v>
      </c>
      <c r="E399" t="s">
        <v>15</v>
      </c>
      <c r="F399" t="s">
        <v>34</v>
      </c>
      <c r="G399" t="s">
        <v>29</v>
      </c>
      <c r="H399" t="s">
        <v>53</v>
      </c>
      <c r="I399" t="s">
        <v>37</v>
      </c>
      <c r="J399">
        <v>49.91</v>
      </c>
      <c r="K399">
        <v>5</v>
      </c>
      <c r="L399">
        <v>0.05</v>
      </c>
      <c r="M399">
        <v>9.9499999999999993</v>
      </c>
    </row>
    <row r="400" spans="1:13">
      <c r="A400" t="s">
        <v>449</v>
      </c>
      <c r="B400" s="1">
        <v>45948.32464929398</v>
      </c>
      <c r="C400" s="1">
        <v>45953.32464929398</v>
      </c>
      <c r="D400" t="s">
        <v>63</v>
      </c>
      <c r="E400" t="s">
        <v>22</v>
      </c>
      <c r="F400" t="s">
        <v>16</v>
      </c>
      <c r="G400" t="s">
        <v>17</v>
      </c>
      <c r="H400" t="s">
        <v>18</v>
      </c>
      <c r="I400" t="s">
        <v>64</v>
      </c>
      <c r="J400">
        <v>602.96</v>
      </c>
      <c r="K400">
        <v>3</v>
      </c>
      <c r="L400">
        <v>0.1</v>
      </c>
      <c r="M400">
        <v>17.48</v>
      </c>
    </row>
    <row r="401" spans="1:13">
      <c r="A401" t="s">
        <v>450</v>
      </c>
      <c r="B401" s="1">
        <v>45949.054108217591</v>
      </c>
      <c r="C401" s="1">
        <v>45951.054108217591</v>
      </c>
      <c r="D401" t="s">
        <v>63</v>
      </c>
      <c r="E401" t="s">
        <v>15</v>
      </c>
      <c r="F401" t="s">
        <v>16</v>
      </c>
      <c r="G401" t="s">
        <v>24</v>
      </c>
      <c r="H401" t="s">
        <v>53</v>
      </c>
      <c r="I401" t="s">
        <v>64</v>
      </c>
      <c r="J401">
        <v>215.24</v>
      </c>
      <c r="K401">
        <v>1</v>
      </c>
      <c r="L401">
        <v>0</v>
      </c>
      <c r="M401">
        <v>47.62</v>
      </c>
    </row>
    <row r="402" spans="1:13">
      <c r="A402" t="s">
        <v>451</v>
      </c>
      <c r="B402" s="1">
        <v>45949.783567129627</v>
      </c>
      <c r="C402" s="1">
        <v>45954.783567129627</v>
      </c>
      <c r="D402" t="s">
        <v>14</v>
      </c>
      <c r="E402" t="s">
        <v>42</v>
      </c>
      <c r="F402" t="s">
        <v>16</v>
      </c>
      <c r="G402" t="s">
        <v>17</v>
      </c>
      <c r="H402" t="s">
        <v>44</v>
      </c>
      <c r="I402" t="s">
        <v>60</v>
      </c>
      <c r="J402">
        <v>1939.96</v>
      </c>
      <c r="K402">
        <v>3</v>
      </c>
      <c r="L402">
        <v>0</v>
      </c>
      <c r="M402">
        <v>312.18</v>
      </c>
    </row>
    <row r="403" spans="1:13">
      <c r="A403" t="s">
        <v>452</v>
      </c>
      <c r="B403" s="1">
        <v>45950.513026053239</v>
      </c>
      <c r="C403" s="1">
        <v>45951.513026053239</v>
      </c>
      <c r="D403" t="s">
        <v>14</v>
      </c>
      <c r="E403" t="s">
        <v>15</v>
      </c>
      <c r="F403" t="s">
        <v>16</v>
      </c>
      <c r="G403" t="s">
        <v>29</v>
      </c>
      <c r="H403" t="s">
        <v>53</v>
      </c>
      <c r="I403" t="s">
        <v>47</v>
      </c>
      <c r="J403">
        <v>24.01</v>
      </c>
      <c r="K403">
        <v>1</v>
      </c>
      <c r="L403">
        <v>0.1</v>
      </c>
      <c r="M403">
        <v>4.1500000000000004</v>
      </c>
    </row>
    <row r="404" spans="1:13">
      <c r="A404" t="s">
        <v>453</v>
      </c>
      <c r="B404" s="1">
        <v>45951.242484965274</v>
      </c>
      <c r="C404" s="1">
        <v>45954.242484965274</v>
      </c>
      <c r="D404" t="s">
        <v>33</v>
      </c>
      <c r="E404" t="s">
        <v>42</v>
      </c>
      <c r="F404" t="s">
        <v>23</v>
      </c>
      <c r="G404" t="s">
        <v>29</v>
      </c>
      <c r="H404" t="s">
        <v>53</v>
      </c>
      <c r="I404" t="s">
        <v>31</v>
      </c>
      <c r="J404">
        <v>400.21</v>
      </c>
      <c r="K404">
        <v>3</v>
      </c>
      <c r="L404">
        <v>0.15</v>
      </c>
      <c r="M404">
        <v>37.89</v>
      </c>
    </row>
    <row r="405" spans="1:13">
      <c r="A405" t="s">
        <v>454</v>
      </c>
      <c r="B405" s="1">
        <v>45951.971943888886</v>
      </c>
      <c r="C405" s="1">
        <v>45955.971943888886</v>
      </c>
      <c r="D405" t="s">
        <v>63</v>
      </c>
      <c r="E405" t="s">
        <v>15</v>
      </c>
      <c r="F405" t="s">
        <v>34</v>
      </c>
      <c r="G405" t="s">
        <v>17</v>
      </c>
      <c r="H405" t="s">
        <v>25</v>
      </c>
      <c r="I405" t="s">
        <v>37</v>
      </c>
      <c r="J405">
        <v>73.069999999999993</v>
      </c>
      <c r="K405">
        <v>8</v>
      </c>
      <c r="L405">
        <v>0</v>
      </c>
      <c r="M405">
        <v>15.92</v>
      </c>
    </row>
    <row r="406" spans="1:13">
      <c r="A406" t="s">
        <v>455</v>
      </c>
      <c r="B406" s="1">
        <v>45952.701402800929</v>
      </c>
      <c r="C406" s="1">
        <v>45957.701402800929</v>
      </c>
      <c r="D406" t="s">
        <v>14</v>
      </c>
      <c r="E406" t="s">
        <v>42</v>
      </c>
      <c r="F406" t="s">
        <v>23</v>
      </c>
      <c r="G406" t="s">
        <v>24</v>
      </c>
      <c r="H406" t="s">
        <v>49</v>
      </c>
      <c r="I406" t="s">
        <v>31</v>
      </c>
      <c r="J406">
        <v>322.47000000000003</v>
      </c>
      <c r="K406">
        <v>2</v>
      </c>
      <c r="L406">
        <v>0.05</v>
      </c>
      <c r="M406">
        <v>38.869999999999997</v>
      </c>
    </row>
    <row r="407" spans="1:13">
      <c r="A407" t="s">
        <v>456</v>
      </c>
      <c r="B407" s="1">
        <v>45953.430861724541</v>
      </c>
      <c r="C407" s="1">
        <v>45955.430861724541</v>
      </c>
      <c r="D407" t="s">
        <v>14</v>
      </c>
      <c r="E407" t="s">
        <v>15</v>
      </c>
      <c r="F407" t="s">
        <v>16</v>
      </c>
      <c r="G407" t="s">
        <v>29</v>
      </c>
      <c r="H407" t="s">
        <v>49</v>
      </c>
      <c r="I407" t="s">
        <v>112</v>
      </c>
      <c r="J407">
        <v>297.11</v>
      </c>
      <c r="K407">
        <v>7</v>
      </c>
      <c r="L407">
        <v>0.05</v>
      </c>
      <c r="M407">
        <v>51.28</v>
      </c>
    </row>
    <row r="408" spans="1:13">
      <c r="A408" t="s">
        <v>457</v>
      </c>
      <c r="B408" s="1">
        <v>45954.160320636576</v>
      </c>
      <c r="C408" s="1">
        <v>45955.160320636576</v>
      </c>
      <c r="D408" t="s">
        <v>28</v>
      </c>
      <c r="E408" t="s">
        <v>22</v>
      </c>
      <c r="F408" t="s">
        <v>34</v>
      </c>
      <c r="G408" t="s">
        <v>29</v>
      </c>
      <c r="H408" t="s">
        <v>36</v>
      </c>
      <c r="I408" t="s">
        <v>73</v>
      </c>
      <c r="J408">
        <v>12.73</v>
      </c>
      <c r="K408">
        <v>1</v>
      </c>
      <c r="L408">
        <v>0</v>
      </c>
      <c r="M408">
        <v>2.5299999999999998</v>
      </c>
    </row>
    <row r="409" spans="1:13">
      <c r="A409" t="s">
        <v>458</v>
      </c>
      <c r="B409" s="1">
        <v>45954.889779560188</v>
      </c>
      <c r="C409" s="1">
        <v>45959.889779560188</v>
      </c>
      <c r="D409" t="s">
        <v>14</v>
      </c>
      <c r="E409" t="s">
        <v>22</v>
      </c>
      <c r="F409" t="s">
        <v>34</v>
      </c>
      <c r="G409" t="s">
        <v>35</v>
      </c>
      <c r="H409" t="s">
        <v>39</v>
      </c>
      <c r="I409" t="s">
        <v>95</v>
      </c>
      <c r="J409">
        <v>40.950000000000003</v>
      </c>
      <c r="K409">
        <v>6</v>
      </c>
      <c r="L409">
        <v>0.15</v>
      </c>
      <c r="M409">
        <v>1.34</v>
      </c>
    </row>
    <row r="410" spans="1:13">
      <c r="A410" t="s">
        <v>459</v>
      </c>
      <c r="B410" s="1">
        <v>45955.619238472224</v>
      </c>
      <c r="C410" s="1">
        <v>45958.619238472224</v>
      </c>
      <c r="D410" t="s">
        <v>33</v>
      </c>
      <c r="E410" t="s">
        <v>42</v>
      </c>
      <c r="F410" t="s">
        <v>34</v>
      </c>
      <c r="G410" t="s">
        <v>17</v>
      </c>
      <c r="H410" t="s">
        <v>36</v>
      </c>
      <c r="I410" t="s">
        <v>40</v>
      </c>
      <c r="J410">
        <v>82.75</v>
      </c>
      <c r="K410">
        <v>6</v>
      </c>
      <c r="L410">
        <v>0.15</v>
      </c>
      <c r="M410">
        <v>11.92</v>
      </c>
    </row>
    <row r="411" spans="1:13">
      <c r="A411" t="s">
        <v>460</v>
      </c>
      <c r="B411" s="1">
        <v>45956.348697395835</v>
      </c>
      <c r="C411" s="1">
        <v>45962.348697395835</v>
      </c>
      <c r="D411" t="s">
        <v>14</v>
      </c>
      <c r="E411" t="s">
        <v>22</v>
      </c>
      <c r="F411" t="s">
        <v>23</v>
      </c>
      <c r="G411" t="s">
        <v>17</v>
      </c>
      <c r="H411" t="s">
        <v>18</v>
      </c>
      <c r="I411" t="s">
        <v>45</v>
      </c>
      <c r="J411">
        <v>1790.61</v>
      </c>
      <c r="K411">
        <v>6</v>
      </c>
      <c r="L411">
        <v>0</v>
      </c>
      <c r="M411">
        <v>338.34</v>
      </c>
    </row>
    <row r="412" spans="1:13">
      <c r="A412" t="s">
        <v>461</v>
      </c>
      <c r="B412" s="1">
        <v>45957.078156307871</v>
      </c>
      <c r="C412" s="1">
        <v>45959.078156307871</v>
      </c>
      <c r="D412" t="s">
        <v>21</v>
      </c>
      <c r="E412" t="s">
        <v>15</v>
      </c>
      <c r="F412" t="s">
        <v>16</v>
      </c>
      <c r="G412" t="s">
        <v>29</v>
      </c>
      <c r="H412" t="s">
        <v>39</v>
      </c>
      <c r="I412" t="s">
        <v>47</v>
      </c>
      <c r="J412">
        <v>42.19</v>
      </c>
      <c r="K412">
        <v>2</v>
      </c>
      <c r="L412">
        <v>0.1</v>
      </c>
      <c r="M412">
        <v>1.64</v>
      </c>
    </row>
    <row r="413" spans="1:13">
      <c r="A413" t="s">
        <v>462</v>
      </c>
      <c r="B413" s="1">
        <v>45957.807615231482</v>
      </c>
      <c r="C413" s="1">
        <v>45960.807615231482</v>
      </c>
      <c r="D413" t="s">
        <v>52</v>
      </c>
      <c r="E413" t="s">
        <v>22</v>
      </c>
      <c r="F413" t="s">
        <v>34</v>
      </c>
      <c r="G413" t="s">
        <v>24</v>
      </c>
      <c r="H413" t="s">
        <v>30</v>
      </c>
      <c r="I413" t="s">
        <v>73</v>
      </c>
      <c r="J413">
        <v>86.97</v>
      </c>
      <c r="K413">
        <v>8</v>
      </c>
      <c r="L413">
        <v>0.1</v>
      </c>
      <c r="M413">
        <v>12.14</v>
      </c>
    </row>
    <row r="414" spans="1:13">
      <c r="A414" t="s">
        <v>463</v>
      </c>
      <c r="B414" s="1">
        <v>45958.537074143518</v>
      </c>
      <c r="C414" s="1">
        <v>45964.537074143518</v>
      </c>
      <c r="D414" t="s">
        <v>21</v>
      </c>
      <c r="E414" t="s">
        <v>15</v>
      </c>
      <c r="F414" t="s">
        <v>16</v>
      </c>
      <c r="G414" t="s">
        <v>24</v>
      </c>
      <c r="H414" t="s">
        <v>39</v>
      </c>
      <c r="I414" t="s">
        <v>47</v>
      </c>
      <c r="J414">
        <v>100.27</v>
      </c>
      <c r="K414">
        <v>5</v>
      </c>
      <c r="L414">
        <v>0.15</v>
      </c>
      <c r="M414">
        <v>11.5</v>
      </c>
    </row>
    <row r="415" spans="1:13">
      <c r="A415" t="s">
        <v>464</v>
      </c>
      <c r="B415" s="1">
        <v>45959.26653306713</v>
      </c>
      <c r="C415" s="1">
        <v>45960.26653306713</v>
      </c>
      <c r="D415" t="s">
        <v>33</v>
      </c>
      <c r="E415" t="s">
        <v>15</v>
      </c>
      <c r="F415" t="s">
        <v>34</v>
      </c>
      <c r="G415" t="s">
        <v>29</v>
      </c>
      <c r="H415" t="s">
        <v>30</v>
      </c>
      <c r="I415" t="s">
        <v>40</v>
      </c>
      <c r="J415">
        <v>24.83</v>
      </c>
      <c r="K415">
        <v>2</v>
      </c>
      <c r="L415">
        <v>0.15</v>
      </c>
      <c r="M415">
        <v>2.12</v>
      </c>
    </row>
    <row r="416" spans="1:13">
      <c r="A416" t="s">
        <v>465</v>
      </c>
      <c r="B416" s="1">
        <v>45959.995991979165</v>
      </c>
      <c r="C416" s="1">
        <v>45965.995991979165</v>
      </c>
      <c r="D416" t="s">
        <v>63</v>
      </c>
      <c r="E416" t="s">
        <v>42</v>
      </c>
      <c r="F416" t="s">
        <v>23</v>
      </c>
      <c r="G416" t="s">
        <v>35</v>
      </c>
      <c r="H416" t="s">
        <v>44</v>
      </c>
      <c r="I416" t="s">
        <v>26</v>
      </c>
      <c r="J416">
        <v>1308.1600000000001</v>
      </c>
      <c r="K416">
        <v>3</v>
      </c>
      <c r="L416">
        <v>0.15</v>
      </c>
      <c r="M416">
        <v>211.87</v>
      </c>
    </row>
    <row r="417" spans="1:13">
      <c r="A417" t="s">
        <v>466</v>
      </c>
      <c r="B417" s="1">
        <v>45960.725450902777</v>
      </c>
      <c r="C417" s="1">
        <v>45963.725450902777</v>
      </c>
      <c r="D417" t="s">
        <v>63</v>
      </c>
      <c r="E417" t="s">
        <v>42</v>
      </c>
      <c r="F417" t="s">
        <v>16</v>
      </c>
      <c r="G417" t="s">
        <v>24</v>
      </c>
      <c r="H417" t="s">
        <v>44</v>
      </c>
      <c r="I417" t="s">
        <v>19</v>
      </c>
      <c r="J417">
        <v>939.4</v>
      </c>
      <c r="K417">
        <v>7</v>
      </c>
      <c r="L417">
        <v>0.3</v>
      </c>
      <c r="M417">
        <v>100.59</v>
      </c>
    </row>
    <row r="418" spans="1:13">
      <c r="A418" t="s">
        <v>467</v>
      </c>
      <c r="B418" s="1">
        <v>45961.454909814813</v>
      </c>
      <c r="C418" s="1">
        <v>45966.454909814813</v>
      </c>
      <c r="D418" t="s">
        <v>21</v>
      </c>
      <c r="E418" t="s">
        <v>15</v>
      </c>
      <c r="F418" t="s">
        <v>34</v>
      </c>
      <c r="G418" t="s">
        <v>24</v>
      </c>
      <c r="H418" t="s">
        <v>49</v>
      </c>
      <c r="I418" t="s">
        <v>37</v>
      </c>
      <c r="J418">
        <v>34.770000000000003</v>
      </c>
      <c r="K418">
        <v>4</v>
      </c>
      <c r="L418">
        <v>0.2</v>
      </c>
      <c r="M418">
        <v>4.67</v>
      </c>
    </row>
    <row r="419" spans="1:13">
      <c r="A419" t="s">
        <v>468</v>
      </c>
      <c r="B419" s="1">
        <v>45962.184368738424</v>
      </c>
      <c r="C419" s="1">
        <v>45965.184368738424</v>
      </c>
      <c r="D419" t="s">
        <v>52</v>
      </c>
      <c r="E419" t="s">
        <v>15</v>
      </c>
      <c r="F419" t="s">
        <v>16</v>
      </c>
      <c r="G419" t="s">
        <v>29</v>
      </c>
      <c r="H419" t="s">
        <v>39</v>
      </c>
      <c r="I419" t="s">
        <v>19</v>
      </c>
      <c r="J419">
        <v>814.04</v>
      </c>
      <c r="K419">
        <v>5</v>
      </c>
      <c r="L419">
        <v>0</v>
      </c>
      <c r="M419">
        <v>101.65</v>
      </c>
    </row>
    <row r="420" spans="1:13">
      <c r="A420" t="s">
        <v>469</v>
      </c>
      <c r="B420" s="1">
        <v>45962.91382765046</v>
      </c>
      <c r="C420" s="1">
        <v>45963.91382765046</v>
      </c>
      <c r="D420" t="s">
        <v>28</v>
      </c>
      <c r="E420" t="s">
        <v>15</v>
      </c>
      <c r="F420" t="s">
        <v>16</v>
      </c>
      <c r="G420" t="s">
        <v>35</v>
      </c>
      <c r="H420" t="s">
        <v>44</v>
      </c>
      <c r="I420" t="s">
        <v>19</v>
      </c>
      <c r="J420">
        <v>487.85</v>
      </c>
      <c r="K420">
        <v>3</v>
      </c>
      <c r="L420">
        <v>0</v>
      </c>
      <c r="M420">
        <v>109.76</v>
      </c>
    </row>
    <row r="421" spans="1:13">
      <c r="A421" t="s">
        <v>470</v>
      </c>
      <c r="B421" s="1">
        <v>45963.643286574072</v>
      </c>
      <c r="C421" s="1">
        <v>45964.643286574072</v>
      </c>
      <c r="D421" t="s">
        <v>28</v>
      </c>
      <c r="E421" t="s">
        <v>22</v>
      </c>
      <c r="F421" t="s">
        <v>23</v>
      </c>
      <c r="G421" t="s">
        <v>24</v>
      </c>
      <c r="H421" t="s">
        <v>39</v>
      </c>
      <c r="I421" t="s">
        <v>55</v>
      </c>
      <c r="J421">
        <v>405.55</v>
      </c>
      <c r="K421">
        <v>3</v>
      </c>
      <c r="L421">
        <v>0.1</v>
      </c>
      <c r="M421">
        <v>52.98</v>
      </c>
    </row>
    <row r="422" spans="1:13">
      <c r="A422" t="s">
        <v>471</v>
      </c>
      <c r="B422" s="1">
        <v>45964.372745486115</v>
      </c>
      <c r="C422" s="1">
        <v>45967.372745486115</v>
      </c>
      <c r="D422" t="s">
        <v>52</v>
      </c>
      <c r="E422" t="s">
        <v>42</v>
      </c>
      <c r="F422" t="s">
        <v>34</v>
      </c>
      <c r="G422" t="s">
        <v>35</v>
      </c>
      <c r="H422" t="s">
        <v>25</v>
      </c>
      <c r="I422" t="s">
        <v>87</v>
      </c>
      <c r="J422">
        <v>50.79</v>
      </c>
      <c r="K422">
        <v>2</v>
      </c>
      <c r="L422">
        <v>0</v>
      </c>
      <c r="M422">
        <v>8.25</v>
      </c>
    </row>
    <row r="423" spans="1:13">
      <c r="A423" t="s">
        <v>472</v>
      </c>
      <c r="B423" s="1">
        <v>45965.102204409719</v>
      </c>
      <c r="C423" s="1">
        <v>45966.102204409719</v>
      </c>
      <c r="D423" t="s">
        <v>21</v>
      </c>
      <c r="E423" t="s">
        <v>42</v>
      </c>
      <c r="F423" t="s">
        <v>23</v>
      </c>
      <c r="G423" t="s">
        <v>24</v>
      </c>
      <c r="H423" t="s">
        <v>30</v>
      </c>
      <c r="I423" t="s">
        <v>55</v>
      </c>
      <c r="J423">
        <v>537.15</v>
      </c>
      <c r="K423">
        <v>5</v>
      </c>
      <c r="L423">
        <v>0.3</v>
      </c>
      <c r="M423">
        <v>38.630000000000003</v>
      </c>
    </row>
    <row r="424" spans="1:13">
      <c r="A424" t="s">
        <v>473</v>
      </c>
      <c r="B424" s="1">
        <v>45965.831663321762</v>
      </c>
      <c r="C424" s="1">
        <v>45968.831663321762</v>
      </c>
      <c r="D424" t="s">
        <v>33</v>
      </c>
      <c r="E424" t="s">
        <v>22</v>
      </c>
      <c r="F424" t="s">
        <v>16</v>
      </c>
      <c r="G424" t="s">
        <v>35</v>
      </c>
      <c r="H424" t="s">
        <v>53</v>
      </c>
      <c r="I424" t="s">
        <v>112</v>
      </c>
      <c r="J424">
        <v>198.04</v>
      </c>
      <c r="K424">
        <v>5</v>
      </c>
      <c r="L424">
        <v>0.15</v>
      </c>
      <c r="M424">
        <v>14.79</v>
      </c>
    </row>
    <row r="425" spans="1:13">
      <c r="A425" t="s">
        <v>474</v>
      </c>
      <c r="B425" s="1">
        <v>45966.561122245374</v>
      </c>
      <c r="C425" s="1">
        <v>45970.561122245374</v>
      </c>
      <c r="D425" t="s">
        <v>63</v>
      </c>
      <c r="E425" t="s">
        <v>15</v>
      </c>
      <c r="F425" t="s">
        <v>23</v>
      </c>
      <c r="G425" t="s">
        <v>17</v>
      </c>
      <c r="H425" t="s">
        <v>25</v>
      </c>
      <c r="I425" t="s">
        <v>31</v>
      </c>
      <c r="J425">
        <v>161.75</v>
      </c>
      <c r="K425">
        <v>1</v>
      </c>
      <c r="L425">
        <v>0</v>
      </c>
      <c r="M425">
        <v>31.48</v>
      </c>
    </row>
    <row r="426" spans="1:13">
      <c r="A426" t="s">
        <v>475</v>
      </c>
      <c r="B426" s="1">
        <v>45967.290581157409</v>
      </c>
      <c r="C426" s="1">
        <v>45969.290581157409</v>
      </c>
      <c r="D426" t="s">
        <v>63</v>
      </c>
      <c r="E426" t="s">
        <v>15</v>
      </c>
      <c r="F426" t="s">
        <v>16</v>
      </c>
      <c r="G426" t="s">
        <v>35</v>
      </c>
      <c r="H426" t="s">
        <v>49</v>
      </c>
      <c r="I426" t="s">
        <v>64</v>
      </c>
      <c r="J426">
        <v>1510.39</v>
      </c>
      <c r="K426">
        <v>7</v>
      </c>
      <c r="L426">
        <v>0.1</v>
      </c>
      <c r="M426">
        <v>54.24</v>
      </c>
    </row>
    <row r="427" spans="1:13">
      <c r="A427" t="s">
        <v>476</v>
      </c>
      <c r="B427" s="1">
        <v>45968.020040081021</v>
      </c>
      <c r="C427" s="1">
        <v>45970.020040081021</v>
      </c>
      <c r="D427" t="s">
        <v>52</v>
      </c>
      <c r="E427" t="s">
        <v>22</v>
      </c>
      <c r="F427" t="s">
        <v>23</v>
      </c>
      <c r="G427" t="s">
        <v>24</v>
      </c>
      <c r="H427" t="s">
        <v>36</v>
      </c>
      <c r="I427" t="s">
        <v>26</v>
      </c>
      <c r="J427">
        <v>2759.21</v>
      </c>
      <c r="K427">
        <v>6</v>
      </c>
      <c r="L427">
        <v>0.15</v>
      </c>
      <c r="M427">
        <v>338.07</v>
      </c>
    </row>
    <row r="428" spans="1:13">
      <c r="A428" t="s">
        <v>477</v>
      </c>
      <c r="B428" s="1">
        <v>45968.749498993056</v>
      </c>
      <c r="C428" s="1">
        <v>45971.749498993056</v>
      </c>
      <c r="D428" t="s">
        <v>52</v>
      </c>
      <c r="E428" t="s">
        <v>22</v>
      </c>
      <c r="F428" t="s">
        <v>23</v>
      </c>
      <c r="G428" t="s">
        <v>17</v>
      </c>
      <c r="H428" t="s">
        <v>36</v>
      </c>
      <c r="I428" t="s">
        <v>45</v>
      </c>
      <c r="J428">
        <v>487.99</v>
      </c>
      <c r="K428">
        <v>2</v>
      </c>
      <c r="L428">
        <v>0.2</v>
      </c>
      <c r="M428">
        <v>47.19</v>
      </c>
    </row>
    <row r="429" spans="1:13">
      <c r="A429" t="s">
        <v>478</v>
      </c>
      <c r="B429" s="1">
        <v>45969.478957916668</v>
      </c>
      <c r="C429" s="1">
        <v>45974.478957916668</v>
      </c>
      <c r="D429" t="s">
        <v>14</v>
      </c>
      <c r="E429" t="s">
        <v>15</v>
      </c>
      <c r="F429" t="s">
        <v>16</v>
      </c>
      <c r="G429" t="s">
        <v>17</v>
      </c>
      <c r="H429" t="s">
        <v>44</v>
      </c>
      <c r="I429" t="s">
        <v>47</v>
      </c>
      <c r="J429">
        <v>98.62</v>
      </c>
      <c r="K429">
        <v>4</v>
      </c>
      <c r="L429">
        <v>0.05</v>
      </c>
      <c r="M429">
        <v>14.79</v>
      </c>
    </row>
    <row r="430" spans="1:13">
      <c r="A430" t="s">
        <v>479</v>
      </c>
      <c r="B430" s="1">
        <v>45970.208416828704</v>
      </c>
      <c r="C430" s="1">
        <v>45971.208416828704</v>
      </c>
      <c r="D430" t="s">
        <v>33</v>
      </c>
      <c r="E430" t="s">
        <v>42</v>
      </c>
      <c r="F430" t="s">
        <v>16</v>
      </c>
      <c r="G430" t="s">
        <v>29</v>
      </c>
      <c r="H430" t="s">
        <v>25</v>
      </c>
      <c r="I430" t="s">
        <v>60</v>
      </c>
      <c r="J430">
        <v>1839.33</v>
      </c>
      <c r="K430">
        <v>3</v>
      </c>
      <c r="L430">
        <v>0</v>
      </c>
      <c r="M430">
        <v>339.21</v>
      </c>
    </row>
    <row r="431" spans="1:13">
      <c r="A431" t="s">
        <v>480</v>
      </c>
      <c r="B431" s="1">
        <v>45970.937875752315</v>
      </c>
      <c r="C431" s="1">
        <v>45975.937875752315</v>
      </c>
      <c r="D431" t="s">
        <v>14</v>
      </c>
      <c r="E431" t="s">
        <v>42</v>
      </c>
      <c r="F431" t="s">
        <v>16</v>
      </c>
      <c r="G431" t="s">
        <v>35</v>
      </c>
      <c r="H431" t="s">
        <v>36</v>
      </c>
      <c r="I431" t="s">
        <v>19</v>
      </c>
      <c r="J431">
        <v>1237.53</v>
      </c>
      <c r="K431">
        <v>7</v>
      </c>
      <c r="L431">
        <v>0.05</v>
      </c>
      <c r="M431">
        <v>251.27</v>
      </c>
    </row>
    <row r="432" spans="1:13">
      <c r="A432" t="s">
        <v>481</v>
      </c>
      <c r="B432" s="1">
        <v>45971.667334664351</v>
      </c>
      <c r="C432" s="1">
        <v>45973.667334664351</v>
      </c>
      <c r="D432" t="s">
        <v>28</v>
      </c>
      <c r="E432" t="s">
        <v>15</v>
      </c>
      <c r="F432" t="s">
        <v>16</v>
      </c>
      <c r="G432" t="s">
        <v>24</v>
      </c>
      <c r="H432" t="s">
        <v>25</v>
      </c>
      <c r="I432" t="s">
        <v>47</v>
      </c>
      <c r="J432">
        <v>47.21</v>
      </c>
      <c r="K432">
        <v>2</v>
      </c>
      <c r="L432">
        <v>0.05</v>
      </c>
      <c r="M432">
        <v>4.29</v>
      </c>
    </row>
    <row r="433" spans="1:13">
      <c r="A433" t="s">
        <v>482</v>
      </c>
      <c r="B433" s="1">
        <v>45972.396793587963</v>
      </c>
      <c r="C433" s="1">
        <v>45975.396793587963</v>
      </c>
      <c r="D433" t="s">
        <v>52</v>
      </c>
      <c r="E433" t="s">
        <v>22</v>
      </c>
      <c r="F433" t="s">
        <v>34</v>
      </c>
      <c r="G433" t="s">
        <v>29</v>
      </c>
      <c r="H433" t="s">
        <v>44</v>
      </c>
      <c r="I433" t="s">
        <v>73</v>
      </c>
      <c r="J433">
        <v>86.57</v>
      </c>
      <c r="K433">
        <v>8</v>
      </c>
      <c r="L433">
        <v>0</v>
      </c>
      <c r="M433">
        <v>7.62</v>
      </c>
    </row>
    <row r="434" spans="1:13">
      <c r="A434" t="s">
        <v>483</v>
      </c>
      <c r="B434" s="1">
        <v>45973.126252499998</v>
      </c>
      <c r="C434" s="1">
        <v>45975.126252499998</v>
      </c>
      <c r="D434" t="s">
        <v>52</v>
      </c>
      <c r="E434" t="s">
        <v>15</v>
      </c>
      <c r="F434" t="s">
        <v>16</v>
      </c>
      <c r="G434" t="s">
        <v>29</v>
      </c>
      <c r="H434" t="s">
        <v>44</v>
      </c>
      <c r="I434" t="s">
        <v>47</v>
      </c>
      <c r="J434">
        <v>22.81</v>
      </c>
      <c r="K434">
        <v>1</v>
      </c>
      <c r="L434">
        <v>0.05</v>
      </c>
      <c r="M434">
        <v>4.97</v>
      </c>
    </row>
    <row r="435" spans="1:13">
      <c r="A435" t="s">
        <v>484</v>
      </c>
      <c r="B435" s="1">
        <v>45973.85571142361</v>
      </c>
      <c r="C435" s="1">
        <v>45978.85571142361</v>
      </c>
      <c r="D435" t="s">
        <v>52</v>
      </c>
      <c r="E435" t="s">
        <v>42</v>
      </c>
      <c r="F435" t="s">
        <v>16</v>
      </c>
      <c r="G435" t="s">
        <v>17</v>
      </c>
      <c r="H435" t="s">
        <v>44</v>
      </c>
      <c r="I435" t="s">
        <v>64</v>
      </c>
      <c r="J435">
        <v>1481.55</v>
      </c>
      <c r="K435">
        <v>7</v>
      </c>
      <c r="L435">
        <v>0.05</v>
      </c>
      <c r="M435">
        <v>277.32</v>
      </c>
    </row>
    <row r="436" spans="1:13">
      <c r="A436" t="s">
        <v>485</v>
      </c>
      <c r="B436" s="1">
        <v>45974.585170335646</v>
      </c>
      <c r="C436" s="1">
        <v>45976.585170335646</v>
      </c>
      <c r="D436" t="s">
        <v>63</v>
      </c>
      <c r="E436" t="s">
        <v>15</v>
      </c>
      <c r="F436" t="s">
        <v>16</v>
      </c>
      <c r="G436" t="s">
        <v>29</v>
      </c>
      <c r="H436" t="s">
        <v>18</v>
      </c>
      <c r="I436" t="s">
        <v>112</v>
      </c>
      <c r="J436">
        <v>170.58</v>
      </c>
      <c r="K436">
        <v>4</v>
      </c>
      <c r="L436">
        <v>0.05</v>
      </c>
      <c r="M436">
        <v>9.7799999999999994</v>
      </c>
    </row>
    <row r="437" spans="1:13">
      <c r="A437" t="s">
        <v>486</v>
      </c>
      <c r="B437" s="1">
        <v>45975.314629259257</v>
      </c>
      <c r="C437" s="1">
        <v>45976.314629259257</v>
      </c>
      <c r="D437" t="s">
        <v>21</v>
      </c>
      <c r="E437" t="s">
        <v>15</v>
      </c>
      <c r="F437" t="s">
        <v>23</v>
      </c>
      <c r="G437" t="s">
        <v>35</v>
      </c>
      <c r="H437" t="s">
        <v>39</v>
      </c>
      <c r="I437" t="s">
        <v>31</v>
      </c>
      <c r="J437">
        <v>828.12</v>
      </c>
      <c r="K437">
        <v>6</v>
      </c>
      <c r="L437">
        <v>0.15</v>
      </c>
      <c r="M437">
        <v>105.67</v>
      </c>
    </row>
    <row r="438" spans="1:13">
      <c r="A438" t="s">
        <v>487</v>
      </c>
      <c r="B438" s="1">
        <v>45976.044088171293</v>
      </c>
      <c r="C438" s="1">
        <v>45981.044088171293</v>
      </c>
      <c r="D438" t="s">
        <v>21</v>
      </c>
      <c r="E438" t="s">
        <v>22</v>
      </c>
      <c r="F438" t="s">
        <v>16</v>
      </c>
      <c r="G438" t="s">
        <v>17</v>
      </c>
      <c r="H438" t="s">
        <v>53</v>
      </c>
      <c r="I438" t="s">
        <v>19</v>
      </c>
      <c r="J438">
        <v>166.48</v>
      </c>
      <c r="K438">
        <v>1</v>
      </c>
      <c r="L438">
        <v>0.15</v>
      </c>
      <c r="M438">
        <v>1.72</v>
      </c>
    </row>
    <row r="439" spans="1:13">
      <c r="A439" t="s">
        <v>488</v>
      </c>
      <c r="B439" s="1">
        <v>45976.773547094905</v>
      </c>
      <c r="C439" s="1">
        <v>45978.773547094905</v>
      </c>
      <c r="D439" t="s">
        <v>28</v>
      </c>
      <c r="E439" t="s">
        <v>15</v>
      </c>
      <c r="F439" t="s">
        <v>23</v>
      </c>
      <c r="G439" t="s">
        <v>24</v>
      </c>
      <c r="H439" t="s">
        <v>44</v>
      </c>
      <c r="I439" t="s">
        <v>26</v>
      </c>
      <c r="J439">
        <v>2333.4699999999998</v>
      </c>
      <c r="K439">
        <v>6</v>
      </c>
      <c r="L439">
        <v>0.2</v>
      </c>
      <c r="M439">
        <v>337.8</v>
      </c>
    </row>
    <row r="440" spans="1:13">
      <c r="A440" t="s">
        <v>489</v>
      </c>
      <c r="B440" s="1">
        <v>45977.503006006948</v>
      </c>
      <c r="C440" s="1">
        <v>45978.503006006948</v>
      </c>
      <c r="D440" t="s">
        <v>28</v>
      </c>
      <c r="E440" t="s">
        <v>42</v>
      </c>
      <c r="F440" t="s">
        <v>16</v>
      </c>
      <c r="G440" t="s">
        <v>29</v>
      </c>
      <c r="H440" t="s">
        <v>39</v>
      </c>
      <c r="I440" t="s">
        <v>19</v>
      </c>
      <c r="J440">
        <v>589.11</v>
      </c>
      <c r="K440">
        <v>5</v>
      </c>
      <c r="L440">
        <v>0.3</v>
      </c>
      <c r="M440">
        <v>33.69</v>
      </c>
    </row>
    <row r="441" spans="1:13">
      <c r="A441" t="s">
        <v>490</v>
      </c>
      <c r="B441" s="1">
        <v>45978.232464930552</v>
      </c>
      <c r="C441" s="1">
        <v>45984.232464930552</v>
      </c>
      <c r="D441" t="s">
        <v>28</v>
      </c>
      <c r="E441" t="s">
        <v>22</v>
      </c>
      <c r="F441" t="s">
        <v>23</v>
      </c>
      <c r="G441" t="s">
        <v>29</v>
      </c>
      <c r="H441" t="s">
        <v>49</v>
      </c>
      <c r="I441" t="s">
        <v>26</v>
      </c>
      <c r="J441">
        <v>2935.3</v>
      </c>
      <c r="K441">
        <v>7</v>
      </c>
      <c r="L441">
        <v>0.2</v>
      </c>
      <c r="M441">
        <v>118.28</v>
      </c>
    </row>
    <row r="442" spans="1:13">
      <c r="A442" t="s">
        <v>491</v>
      </c>
      <c r="B442" s="1">
        <v>45978.961923842595</v>
      </c>
      <c r="C442" s="1">
        <v>45984.961923842595</v>
      </c>
      <c r="D442" t="s">
        <v>63</v>
      </c>
      <c r="E442" t="s">
        <v>42</v>
      </c>
      <c r="F442" t="s">
        <v>16</v>
      </c>
      <c r="G442" t="s">
        <v>29</v>
      </c>
      <c r="H442" t="s">
        <v>44</v>
      </c>
      <c r="I442" t="s">
        <v>19</v>
      </c>
      <c r="J442">
        <v>878.66</v>
      </c>
      <c r="K442">
        <v>6</v>
      </c>
      <c r="L442">
        <v>0.15</v>
      </c>
      <c r="M442">
        <v>153.22</v>
      </c>
    </row>
    <row r="443" spans="1:13">
      <c r="A443" t="s">
        <v>492</v>
      </c>
      <c r="B443" s="1">
        <v>45979.691382766207</v>
      </c>
      <c r="C443" s="1">
        <v>45984.691382766207</v>
      </c>
      <c r="D443" t="s">
        <v>52</v>
      </c>
      <c r="E443" t="s">
        <v>22</v>
      </c>
      <c r="F443" t="s">
        <v>34</v>
      </c>
      <c r="G443" t="s">
        <v>35</v>
      </c>
      <c r="H443" t="s">
        <v>53</v>
      </c>
      <c r="I443" t="s">
        <v>37</v>
      </c>
      <c r="J443">
        <v>80.91</v>
      </c>
      <c r="K443">
        <v>8</v>
      </c>
      <c r="L443">
        <v>0</v>
      </c>
      <c r="M443">
        <v>17.16</v>
      </c>
    </row>
    <row r="444" spans="1:13">
      <c r="A444" t="s">
        <v>493</v>
      </c>
      <c r="B444" s="1">
        <v>45980.420841678242</v>
      </c>
      <c r="C444" s="1">
        <v>45985.420841678242</v>
      </c>
      <c r="D444" t="s">
        <v>21</v>
      </c>
      <c r="E444" t="s">
        <v>42</v>
      </c>
      <c r="F444" t="s">
        <v>16</v>
      </c>
      <c r="G444" t="s">
        <v>24</v>
      </c>
      <c r="H444" t="s">
        <v>25</v>
      </c>
      <c r="I444" t="s">
        <v>19</v>
      </c>
      <c r="J444">
        <v>329.76</v>
      </c>
      <c r="K444">
        <v>2</v>
      </c>
      <c r="L444">
        <v>0.1</v>
      </c>
      <c r="M444">
        <v>52.86</v>
      </c>
    </row>
    <row r="445" spans="1:13">
      <c r="A445" t="s">
        <v>494</v>
      </c>
      <c r="B445" s="1">
        <v>45981.150300601854</v>
      </c>
      <c r="C445" s="1">
        <v>45983.150300601854</v>
      </c>
      <c r="D445" t="s">
        <v>21</v>
      </c>
      <c r="E445" t="s">
        <v>15</v>
      </c>
      <c r="F445" t="s">
        <v>16</v>
      </c>
      <c r="G445" t="s">
        <v>24</v>
      </c>
      <c r="H445" t="s">
        <v>39</v>
      </c>
      <c r="I445" t="s">
        <v>60</v>
      </c>
      <c r="J445">
        <v>3745.26</v>
      </c>
      <c r="K445">
        <v>6</v>
      </c>
      <c r="L445">
        <v>0.05</v>
      </c>
      <c r="M445">
        <v>293.67</v>
      </c>
    </row>
    <row r="446" spans="1:13">
      <c r="A446" t="s">
        <v>495</v>
      </c>
      <c r="B446" s="1">
        <v>45981.879759513889</v>
      </c>
      <c r="C446" s="1">
        <v>45985.879759513889</v>
      </c>
      <c r="D446" t="s">
        <v>63</v>
      </c>
      <c r="E446" t="s">
        <v>22</v>
      </c>
      <c r="F446" t="s">
        <v>16</v>
      </c>
      <c r="G446" t="s">
        <v>17</v>
      </c>
      <c r="H446" t="s">
        <v>39</v>
      </c>
      <c r="I446" t="s">
        <v>112</v>
      </c>
      <c r="J446">
        <v>77.88</v>
      </c>
      <c r="K446">
        <v>2</v>
      </c>
      <c r="L446">
        <v>0.15</v>
      </c>
      <c r="M446">
        <v>0.67</v>
      </c>
    </row>
    <row r="447" spans="1:13">
      <c r="A447" t="s">
        <v>496</v>
      </c>
      <c r="B447" s="1">
        <v>45982.609218437501</v>
      </c>
      <c r="C447" s="1">
        <v>45987.609218437501</v>
      </c>
      <c r="D447" t="s">
        <v>52</v>
      </c>
      <c r="E447" t="s">
        <v>42</v>
      </c>
      <c r="F447" t="s">
        <v>23</v>
      </c>
      <c r="G447" t="s">
        <v>29</v>
      </c>
      <c r="H447" t="s">
        <v>18</v>
      </c>
      <c r="I447" t="s">
        <v>45</v>
      </c>
      <c r="J447">
        <v>2078.83</v>
      </c>
      <c r="K447">
        <v>7</v>
      </c>
      <c r="L447">
        <v>0.1</v>
      </c>
      <c r="M447">
        <v>339.89</v>
      </c>
    </row>
    <row r="448" spans="1:13">
      <c r="A448" t="s">
        <v>497</v>
      </c>
      <c r="B448" s="1">
        <v>45983.338677349537</v>
      </c>
      <c r="C448" s="1">
        <v>45984.338677349537</v>
      </c>
      <c r="D448" t="s">
        <v>28</v>
      </c>
      <c r="E448" t="s">
        <v>42</v>
      </c>
      <c r="F448" t="s">
        <v>34</v>
      </c>
      <c r="G448" t="s">
        <v>17</v>
      </c>
      <c r="H448" t="s">
        <v>39</v>
      </c>
      <c r="I448" t="s">
        <v>95</v>
      </c>
      <c r="J448">
        <v>60.93</v>
      </c>
      <c r="K448">
        <v>8</v>
      </c>
      <c r="L448">
        <v>0.05</v>
      </c>
      <c r="M448">
        <v>9.34</v>
      </c>
    </row>
    <row r="449" spans="1:13">
      <c r="A449" t="s">
        <v>498</v>
      </c>
      <c r="B449" s="1">
        <v>45984.068136273148</v>
      </c>
      <c r="C449" s="1">
        <v>45985.068136273148</v>
      </c>
      <c r="D449" t="s">
        <v>28</v>
      </c>
      <c r="E449" t="s">
        <v>15</v>
      </c>
      <c r="F449" t="s">
        <v>16</v>
      </c>
      <c r="G449" t="s">
        <v>35</v>
      </c>
      <c r="H449" t="s">
        <v>36</v>
      </c>
      <c r="I449" t="s">
        <v>47</v>
      </c>
      <c r="J449">
        <v>133.33000000000001</v>
      </c>
      <c r="K449">
        <v>6</v>
      </c>
      <c r="L449">
        <v>0.1</v>
      </c>
      <c r="M449">
        <v>23.47</v>
      </c>
    </row>
    <row r="450" spans="1:13">
      <c r="A450" t="s">
        <v>499</v>
      </c>
      <c r="B450" s="1">
        <v>45984.797595185184</v>
      </c>
      <c r="C450" s="1">
        <v>45987.797595185184</v>
      </c>
      <c r="D450" t="s">
        <v>52</v>
      </c>
      <c r="E450" t="s">
        <v>22</v>
      </c>
      <c r="F450" t="s">
        <v>16</v>
      </c>
      <c r="G450" t="s">
        <v>35</v>
      </c>
      <c r="H450" t="s">
        <v>44</v>
      </c>
      <c r="I450" t="s">
        <v>47</v>
      </c>
      <c r="J450">
        <v>23.01</v>
      </c>
      <c r="K450">
        <v>1</v>
      </c>
      <c r="L450">
        <v>0.15</v>
      </c>
      <c r="M450">
        <v>0.96</v>
      </c>
    </row>
    <row r="451" spans="1:13">
      <c r="A451" t="s">
        <v>500</v>
      </c>
      <c r="B451" s="1">
        <v>45985.527054108796</v>
      </c>
      <c r="C451" s="1">
        <v>45987.527054108796</v>
      </c>
      <c r="D451" t="s">
        <v>33</v>
      </c>
      <c r="E451" t="s">
        <v>22</v>
      </c>
      <c r="F451" t="s">
        <v>16</v>
      </c>
      <c r="G451" t="s">
        <v>24</v>
      </c>
      <c r="H451" t="s">
        <v>44</v>
      </c>
      <c r="I451" t="s">
        <v>112</v>
      </c>
      <c r="J451">
        <v>125.18</v>
      </c>
      <c r="K451">
        <v>3</v>
      </c>
      <c r="L451">
        <v>0.1</v>
      </c>
      <c r="M451">
        <v>7.88</v>
      </c>
    </row>
    <row r="452" spans="1:13">
      <c r="A452" t="s">
        <v>501</v>
      </c>
      <c r="B452" s="1">
        <v>45986.256513020831</v>
      </c>
      <c r="C452" s="1">
        <v>45987.256513020831</v>
      </c>
      <c r="D452" t="s">
        <v>63</v>
      </c>
      <c r="E452" t="s">
        <v>15</v>
      </c>
      <c r="F452" t="s">
        <v>34</v>
      </c>
      <c r="G452" t="s">
        <v>35</v>
      </c>
      <c r="H452" t="s">
        <v>49</v>
      </c>
      <c r="I452" t="s">
        <v>87</v>
      </c>
      <c r="J452">
        <v>159.81</v>
      </c>
      <c r="K452">
        <v>6</v>
      </c>
      <c r="L452">
        <v>0</v>
      </c>
      <c r="M452">
        <v>24.68</v>
      </c>
    </row>
    <row r="453" spans="1:13">
      <c r="A453" t="s">
        <v>502</v>
      </c>
      <c r="B453" s="1">
        <v>45986.985971944443</v>
      </c>
      <c r="C453" s="1">
        <v>45989.985971944443</v>
      </c>
      <c r="D453" t="s">
        <v>63</v>
      </c>
      <c r="E453" t="s">
        <v>42</v>
      </c>
      <c r="F453" t="s">
        <v>16</v>
      </c>
      <c r="G453" t="s">
        <v>35</v>
      </c>
      <c r="H453" t="s">
        <v>44</v>
      </c>
      <c r="I453" t="s">
        <v>19</v>
      </c>
      <c r="J453">
        <v>465.96</v>
      </c>
      <c r="K453">
        <v>3</v>
      </c>
      <c r="L453">
        <v>0.05</v>
      </c>
      <c r="M453">
        <v>73.239999999999995</v>
      </c>
    </row>
    <row r="454" spans="1:13">
      <c r="A454" t="s">
        <v>503</v>
      </c>
      <c r="B454" s="1">
        <v>45987.715430856479</v>
      </c>
      <c r="C454" s="1">
        <v>45989.715430856479</v>
      </c>
      <c r="D454" t="s">
        <v>63</v>
      </c>
      <c r="E454" t="s">
        <v>15</v>
      </c>
      <c r="F454" t="s">
        <v>16</v>
      </c>
      <c r="G454" t="s">
        <v>17</v>
      </c>
      <c r="H454" t="s">
        <v>36</v>
      </c>
      <c r="I454" t="s">
        <v>64</v>
      </c>
      <c r="J454">
        <v>1137.28</v>
      </c>
      <c r="K454">
        <v>6</v>
      </c>
      <c r="L454">
        <v>0.2</v>
      </c>
      <c r="M454">
        <v>139.91999999999999</v>
      </c>
    </row>
    <row r="455" spans="1:13">
      <c r="A455" t="s">
        <v>504</v>
      </c>
      <c r="B455" s="1">
        <v>45988.44488978009</v>
      </c>
      <c r="C455" s="1">
        <v>45991.44488978009</v>
      </c>
      <c r="D455" t="s">
        <v>21</v>
      </c>
      <c r="E455" t="s">
        <v>15</v>
      </c>
      <c r="F455" t="s">
        <v>23</v>
      </c>
      <c r="G455" t="s">
        <v>29</v>
      </c>
      <c r="H455" t="s">
        <v>44</v>
      </c>
      <c r="I455" t="s">
        <v>45</v>
      </c>
      <c r="J455">
        <v>2093.85</v>
      </c>
      <c r="K455">
        <v>8</v>
      </c>
      <c r="L455">
        <v>0.1</v>
      </c>
      <c r="M455">
        <v>216.54</v>
      </c>
    </row>
    <row r="456" spans="1:13">
      <c r="A456" t="s">
        <v>505</v>
      </c>
      <c r="B456" s="1">
        <v>45989.174348692133</v>
      </c>
      <c r="C456" s="1">
        <v>45993.174348692133</v>
      </c>
      <c r="D456" t="s">
        <v>21</v>
      </c>
      <c r="E456" t="s">
        <v>42</v>
      </c>
      <c r="F456" t="s">
        <v>16</v>
      </c>
      <c r="G456" t="s">
        <v>17</v>
      </c>
      <c r="H456" t="s">
        <v>49</v>
      </c>
      <c r="I456" t="s">
        <v>47</v>
      </c>
      <c r="J456">
        <v>27.46</v>
      </c>
      <c r="K456">
        <v>1</v>
      </c>
      <c r="L456">
        <v>0</v>
      </c>
      <c r="M456">
        <v>4.32</v>
      </c>
    </row>
    <row r="457" spans="1:13">
      <c r="A457" t="s">
        <v>506</v>
      </c>
      <c r="B457" s="1">
        <v>45989.903807615738</v>
      </c>
      <c r="C457" s="1">
        <v>45991.903807615738</v>
      </c>
      <c r="D457" t="s">
        <v>14</v>
      </c>
      <c r="E457" t="s">
        <v>42</v>
      </c>
      <c r="F457" t="s">
        <v>16</v>
      </c>
      <c r="G457" t="s">
        <v>17</v>
      </c>
      <c r="H457" t="s">
        <v>30</v>
      </c>
      <c r="I457" t="s">
        <v>47</v>
      </c>
      <c r="J457">
        <v>191.38</v>
      </c>
      <c r="K457">
        <v>7</v>
      </c>
      <c r="L457">
        <v>0</v>
      </c>
      <c r="M457">
        <v>26.87</v>
      </c>
    </row>
    <row r="458" spans="1:13">
      <c r="A458" t="s">
        <v>507</v>
      </c>
      <c r="B458" s="1">
        <v>45990.633266527781</v>
      </c>
      <c r="C458" s="1">
        <v>45995.633266527781</v>
      </c>
      <c r="D458" t="s">
        <v>14</v>
      </c>
      <c r="E458" t="s">
        <v>42</v>
      </c>
      <c r="F458" t="s">
        <v>16</v>
      </c>
      <c r="G458" t="s">
        <v>35</v>
      </c>
      <c r="H458" t="s">
        <v>44</v>
      </c>
      <c r="I458" t="s">
        <v>60</v>
      </c>
      <c r="J458">
        <v>1116.8900000000001</v>
      </c>
      <c r="K458">
        <v>2</v>
      </c>
      <c r="L458">
        <v>0.1</v>
      </c>
      <c r="M458">
        <v>63.55</v>
      </c>
    </row>
    <row r="459" spans="1:13">
      <c r="A459" t="s">
        <v>508</v>
      </c>
      <c r="B459" s="1">
        <v>45991.362725451392</v>
      </c>
      <c r="C459" s="1">
        <v>45993.362725451392</v>
      </c>
      <c r="D459" t="s">
        <v>28</v>
      </c>
      <c r="E459" t="s">
        <v>15</v>
      </c>
      <c r="F459" t="s">
        <v>34</v>
      </c>
      <c r="G459" t="s">
        <v>17</v>
      </c>
      <c r="H459" t="s">
        <v>39</v>
      </c>
      <c r="I459" t="s">
        <v>37</v>
      </c>
      <c r="J459">
        <v>30.4</v>
      </c>
      <c r="K459">
        <v>4</v>
      </c>
      <c r="L459">
        <v>0.2</v>
      </c>
      <c r="M459">
        <v>3.62</v>
      </c>
    </row>
    <row r="460" spans="1:13">
      <c r="A460" t="s">
        <v>509</v>
      </c>
      <c r="B460" s="1">
        <v>45992.092184363428</v>
      </c>
      <c r="C460" s="1">
        <v>45993.092184363428</v>
      </c>
      <c r="D460" t="s">
        <v>28</v>
      </c>
      <c r="E460" t="s">
        <v>22</v>
      </c>
      <c r="F460" t="s">
        <v>16</v>
      </c>
      <c r="G460" t="s">
        <v>17</v>
      </c>
      <c r="H460" t="s">
        <v>30</v>
      </c>
      <c r="I460" t="s">
        <v>60</v>
      </c>
      <c r="J460">
        <v>3654.01</v>
      </c>
      <c r="K460">
        <v>6</v>
      </c>
      <c r="L460">
        <v>0</v>
      </c>
      <c r="M460">
        <v>444.25</v>
      </c>
    </row>
    <row r="461" spans="1:13">
      <c r="A461" t="s">
        <v>510</v>
      </c>
      <c r="B461" s="1">
        <v>45992.821643287039</v>
      </c>
      <c r="C461" s="1">
        <v>45998.821643287039</v>
      </c>
      <c r="D461" t="s">
        <v>28</v>
      </c>
      <c r="E461" t="s">
        <v>15</v>
      </c>
      <c r="F461" t="s">
        <v>16</v>
      </c>
      <c r="G461" t="s">
        <v>29</v>
      </c>
      <c r="H461" t="s">
        <v>53</v>
      </c>
      <c r="I461" t="s">
        <v>19</v>
      </c>
      <c r="J461">
        <v>186.56</v>
      </c>
      <c r="K461">
        <v>1</v>
      </c>
      <c r="L461">
        <v>0</v>
      </c>
      <c r="M461">
        <v>43.09</v>
      </c>
    </row>
    <row r="462" spans="1:13">
      <c r="A462" t="s">
        <v>511</v>
      </c>
      <c r="B462" s="1">
        <v>45993.551102199075</v>
      </c>
      <c r="C462" s="1">
        <v>45997.551102199075</v>
      </c>
      <c r="D462" t="s">
        <v>14</v>
      </c>
      <c r="E462" t="s">
        <v>42</v>
      </c>
      <c r="F462" t="s">
        <v>16</v>
      </c>
      <c r="G462" t="s">
        <v>24</v>
      </c>
      <c r="H462" t="s">
        <v>25</v>
      </c>
      <c r="I462" t="s">
        <v>60</v>
      </c>
      <c r="J462">
        <v>1264.1600000000001</v>
      </c>
      <c r="K462">
        <v>2</v>
      </c>
      <c r="L462">
        <v>0.1</v>
      </c>
      <c r="M462">
        <v>109.87</v>
      </c>
    </row>
    <row r="463" spans="1:13">
      <c r="A463" t="s">
        <v>512</v>
      </c>
      <c r="B463" s="1">
        <v>45994.280561122687</v>
      </c>
      <c r="C463" s="1">
        <v>45997.280561122687</v>
      </c>
      <c r="D463" t="s">
        <v>33</v>
      </c>
      <c r="E463" t="s">
        <v>22</v>
      </c>
      <c r="F463" t="s">
        <v>34</v>
      </c>
      <c r="G463" t="s">
        <v>29</v>
      </c>
      <c r="H463" t="s">
        <v>18</v>
      </c>
      <c r="I463" t="s">
        <v>37</v>
      </c>
      <c r="J463">
        <v>73.37</v>
      </c>
      <c r="K463">
        <v>8</v>
      </c>
      <c r="L463">
        <v>0.05</v>
      </c>
      <c r="M463">
        <v>3.26</v>
      </c>
    </row>
    <row r="464" spans="1:13">
      <c r="A464" t="s">
        <v>513</v>
      </c>
      <c r="B464" s="1">
        <v>45995.010020034722</v>
      </c>
      <c r="C464" s="1">
        <v>45998.010020034722</v>
      </c>
      <c r="D464" t="s">
        <v>21</v>
      </c>
      <c r="E464" t="s">
        <v>22</v>
      </c>
      <c r="F464" t="s">
        <v>16</v>
      </c>
      <c r="G464" t="s">
        <v>17</v>
      </c>
      <c r="H464" t="s">
        <v>25</v>
      </c>
      <c r="I464" t="s">
        <v>19</v>
      </c>
      <c r="J464">
        <v>1464.5</v>
      </c>
      <c r="K464">
        <v>8</v>
      </c>
      <c r="L464">
        <v>0</v>
      </c>
      <c r="M464">
        <v>147.52000000000001</v>
      </c>
    </row>
    <row r="465" spans="1:13">
      <c r="A465" t="s">
        <v>514</v>
      </c>
      <c r="B465" s="1">
        <v>45995.739478958334</v>
      </c>
      <c r="C465" s="1">
        <v>46000.739478958334</v>
      </c>
      <c r="D465" t="s">
        <v>33</v>
      </c>
      <c r="E465" t="s">
        <v>42</v>
      </c>
      <c r="F465" t="s">
        <v>23</v>
      </c>
      <c r="G465" t="s">
        <v>17</v>
      </c>
      <c r="H465" t="s">
        <v>36</v>
      </c>
      <c r="I465" t="s">
        <v>55</v>
      </c>
      <c r="J465">
        <v>571.70000000000005</v>
      </c>
      <c r="K465">
        <v>4</v>
      </c>
      <c r="L465">
        <v>0.05</v>
      </c>
      <c r="M465">
        <v>105.54</v>
      </c>
    </row>
    <row r="466" spans="1:13">
      <c r="A466" t="s">
        <v>515</v>
      </c>
      <c r="B466" s="1">
        <v>45996.46893787037</v>
      </c>
      <c r="C466" s="1">
        <v>45997.46893787037</v>
      </c>
      <c r="D466" t="s">
        <v>28</v>
      </c>
      <c r="E466" t="s">
        <v>22</v>
      </c>
      <c r="F466" t="s">
        <v>34</v>
      </c>
      <c r="G466" t="s">
        <v>35</v>
      </c>
      <c r="H466" t="s">
        <v>30</v>
      </c>
      <c r="I466" t="s">
        <v>87</v>
      </c>
      <c r="J466">
        <v>110.3</v>
      </c>
      <c r="K466">
        <v>5</v>
      </c>
      <c r="L466">
        <v>0.05</v>
      </c>
      <c r="M466">
        <v>6.98</v>
      </c>
    </row>
    <row r="467" spans="1:13">
      <c r="A467" t="s">
        <v>516</v>
      </c>
      <c r="B467" s="1">
        <v>45997.198396793981</v>
      </c>
      <c r="C467" s="1">
        <v>45998.198396793981</v>
      </c>
      <c r="D467" t="s">
        <v>52</v>
      </c>
      <c r="E467" t="s">
        <v>42</v>
      </c>
      <c r="F467" t="s">
        <v>16</v>
      </c>
      <c r="G467" t="s">
        <v>35</v>
      </c>
      <c r="H467" t="s">
        <v>18</v>
      </c>
      <c r="I467" t="s">
        <v>60</v>
      </c>
      <c r="J467">
        <v>674.54</v>
      </c>
      <c r="K467">
        <v>1</v>
      </c>
      <c r="L467">
        <v>0</v>
      </c>
      <c r="M467">
        <v>149.47</v>
      </c>
    </row>
    <row r="468" spans="1:13">
      <c r="A468" t="s">
        <v>517</v>
      </c>
      <c r="B468" s="1">
        <v>45997.927855706017</v>
      </c>
      <c r="C468" s="1">
        <v>46003.927855706017</v>
      </c>
      <c r="D468" t="s">
        <v>33</v>
      </c>
      <c r="E468" t="s">
        <v>42</v>
      </c>
      <c r="F468" t="s">
        <v>34</v>
      </c>
      <c r="G468" t="s">
        <v>35</v>
      </c>
      <c r="H468" t="s">
        <v>30</v>
      </c>
      <c r="I468" t="s">
        <v>73</v>
      </c>
      <c r="J468">
        <v>10.06</v>
      </c>
      <c r="K468">
        <v>1</v>
      </c>
      <c r="L468">
        <v>0.1</v>
      </c>
      <c r="M468">
        <v>1.76</v>
      </c>
    </row>
    <row r="469" spans="1:13">
      <c r="A469" t="s">
        <v>518</v>
      </c>
      <c r="B469" s="1">
        <v>45998.657314629629</v>
      </c>
      <c r="C469" s="1">
        <v>46003.657314629629</v>
      </c>
      <c r="D469" t="s">
        <v>14</v>
      </c>
      <c r="E469" t="s">
        <v>42</v>
      </c>
      <c r="F469" t="s">
        <v>16</v>
      </c>
      <c r="G469" t="s">
        <v>24</v>
      </c>
      <c r="H469" t="s">
        <v>30</v>
      </c>
      <c r="I469" t="s">
        <v>19</v>
      </c>
      <c r="J469">
        <v>1046.28</v>
      </c>
      <c r="K469">
        <v>7</v>
      </c>
      <c r="L469">
        <v>0.15</v>
      </c>
      <c r="M469">
        <v>94.31</v>
      </c>
    </row>
    <row r="470" spans="1:13">
      <c r="A470" t="s">
        <v>519</v>
      </c>
      <c r="B470" s="1">
        <v>45999.386773541664</v>
      </c>
      <c r="C470" s="1">
        <v>46005.386773541664</v>
      </c>
      <c r="D470" t="s">
        <v>14</v>
      </c>
      <c r="E470" t="s">
        <v>42</v>
      </c>
      <c r="F470" t="s">
        <v>16</v>
      </c>
      <c r="G470" t="s">
        <v>29</v>
      </c>
      <c r="H470" t="s">
        <v>25</v>
      </c>
      <c r="I470" t="s">
        <v>60</v>
      </c>
      <c r="J470">
        <v>1293.6600000000001</v>
      </c>
      <c r="K470">
        <v>2</v>
      </c>
      <c r="L470">
        <v>0</v>
      </c>
      <c r="M470">
        <v>172.57</v>
      </c>
    </row>
    <row r="471" spans="1:13">
      <c r="A471" t="s">
        <v>520</v>
      </c>
      <c r="B471" s="1">
        <v>46000.116232465276</v>
      </c>
      <c r="C471" s="1">
        <v>46003.116232465276</v>
      </c>
      <c r="D471" t="s">
        <v>14</v>
      </c>
      <c r="E471" t="s">
        <v>15</v>
      </c>
      <c r="F471" t="s">
        <v>23</v>
      </c>
      <c r="G471" t="s">
        <v>17</v>
      </c>
      <c r="H471" t="s">
        <v>49</v>
      </c>
      <c r="I471" t="s">
        <v>45</v>
      </c>
      <c r="J471">
        <v>1770.36</v>
      </c>
      <c r="K471">
        <v>6</v>
      </c>
      <c r="L471">
        <v>0</v>
      </c>
      <c r="M471">
        <v>143.30000000000001</v>
      </c>
    </row>
    <row r="472" spans="1:13">
      <c r="A472" t="s">
        <v>521</v>
      </c>
      <c r="B472" s="1">
        <v>46000.845691377312</v>
      </c>
      <c r="C472" s="1">
        <v>46005.845691377312</v>
      </c>
      <c r="D472" t="s">
        <v>33</v>
      </c>
      <c r="E472" t="s">
        <v>22</v>
      </c>
      <c r="F472" t="s">
        <v>16</v>
      </c>
      <c r="G472" t="s">
        <v>35</v>
      </c>
      <c r="H472" t="s">
        <v>49</v>
      </c>
      <c r="I472" t="s">
        <v>112</v>
      </c>
      <c r="J472">
        <v>158.86000000000001</v>
      </c>
      <c r="K472">
        <v>4</v>
      </c>
      <c r="L472">
        <v>0.1</v>
      </c>
      <c r="M472">
        <v>27.81</v>
      </c>
    </row>
    <row r="473" spans="1:13">
      <c r="A473" t="s">
        <v>522</v>
      </c>
      <c r="B473" s="1">
        <v>46001.575150300923</v>
      </c>
      <c r="C473" s="1">
        <v>46006.575150300923</v>
      </c>
      <c r="D473" t="s">
        <v>52</v>
      </c>
      <c r="E473" t="s">
        <v>15</v>
      </c>
      <c r="F473" t="s">
        <v>34</v>
      </c>
      <c r="G473" t="s">
        <v>17</v>
      </c>
      <c r="H473" t="s">
        <v>25</v>
      </c>
      <c r="I473" t="s">
        <v>37</v>
      </c>
      <c r="J473">
        <v>68.430000000000007</v>
      </c>
      <c r="K473">
        <v>8</v>
      </c>
      <c r="L473">
        <v>0.15</v>
      </c>
      <c r="M473">
        <v>7.14</v>
      </c>
    </row>
    <row r="474" spans="1:13">
      <c r="A474" t="s">
        <v>523</v>
      </c>
      <c r="B474" s="1">
        <v>46002.304609212966</v>
      </c>
      <c r="C474" s="1">
        <v>46005.304609212966</v>
      </c>
      <c r="D474" t="s">
        <v>52</v>
      </c>
      <c r="E474" t="s">
        <v>15</v>
      </c>
      <c r="F474" t="s">
        <v>34</v>
      </c>
      <c r="G474" t="s">
        <v>35</v>
      </c>
      <c r="H474" t="s">
        <v>39</v>
      </c>
      <c r="I474" t="s">
        <v>40</v>
      </c>
      <c r="J474">
        <v>71.510000000000005</v>
      </c>
      <c r="K474">
        <v>5</v>
      </c>
      <c r="L474">
        <v>0.05</v>
      </c>
      <c r="M474">
        <v>12.18</v>
      </c>
    </row>
    <row r="475" spans="1:13">
      <c r="A475" t="s">
        <v>524</v>
      </c>
      <c r="B475" s="1">
        <v>46003.034068136571</v>
      </c>
      <c r="C475" s="1">
        <v>46005.034068136571</v>
      </c>
      <c r="D475" t="s">
        <v>33</v>
      </c>
      <c r="E475" t="s">
        <v>22</v>
      </c>
      <c r="F475" t="s">
        <v>34</v>
      </c>
      <c r="G475" t="s">
        <v>17</v>
      </c>
      <c r="H475" t="s">
        <v>49</v>
      </c>
      <c r="I475" t="s">
        <v>95</v>
      </c>
      <c r="J475">
        <v>13.91</v>
      </c>
      <c r="K475">
        <v>2</v>
      </c>
      <c r="L475">
        <v>0.2</v>
      </c>
      <c r="M475">
        <v>2.16</v>
      </c>
    </row>
    <row r="476" spans="1:13">
      <c r="A476" t="s">
        <v>525</v>
      </c>
      <c r="B476" s="1">
        <v>46003.763527048613</v>
      </c>
      <c r="C476" s="1">
        <v>46006.763527048613</v>
      </c>
      <c r="D476" t="s">
        <v>52</v>
      </c>
      <c r="E476" t="s">
        <v>22</v>
      </c>
      <c r="F476" t="s">
        <v>16</v>
      </c>
      <c r="G476" t="s">
        <v>35</v>
      </c>
      <c r="H476" t="s">
        <v>18</v>
      </c>
      <c r="I476" t="s">
        <v>64</v>
      </c>
      <c r="J476">
        <v>368.65</v>
      </c>
      <c r="K476">
        <v>2</v>
      </c>
      <c r="L476">
        <v>0.15</v>
      </c>
      <c r="M476">
        <v>51.3</v>
      </c>
    </row>
    <row r="477" spans="1:13">
      <c r="A477" t="s">
        <v>526</v>
      </c>
      <c r="B477" s="1">
        <v>46004.492985972225</v>
      </c>
      <c r="C477" s="1">
        <v>46006.492985972225</v>
      </c>
      <c r="D477" t="s">
        <v>21</v>
      </c>
      <c r="E477" t="s">
        <v>15</v>
      </c>
      <c r="F477" t="s">
        <v>16</v>
      </c>
      <c r="G477" t="s">
        <v>17</v>
      </c>
      <c r="H477" t="s">
        <v>36</v>
      </c>
      <c r="I477" t="s">
        <v>64</v>
      </c>
      <c r="J477">
        <v>966.05</v>
      </c>
      <c r="K477">
        <v>5</v>
      </c>
      <c r="L477">
        <v>0.1</v>
      </c>
      <c r="M477">
        <v>183.27</v>
      </c>
    </row>
    <row r="478" spans="1:13">
      <c r="A478" t="s">
        <v>527</v>
      </c>
      <c r="B478" s="1">
        <v>46005.222444884261</v>
      </c>
      <c r="C478" s="1">
        <v>46008.222444884261</v>
      </c>
      <c r="D478" t="s">
        <v>21</v>
      </c>
      <c r="E478" t="s">
        <v>15</v>
      </c>
      <c r="F478" t="s">
        <v>23</v>
      </c>
      <c r="G478" t="s">
        <v>35</v>
      </c>
      <c r="H478" t="s">
        <v>53</v>
      </c>
      <c r="I478" t="s">
        <v>31</v>
      </c>
      <c r="J478">
        <v>277.93</v>
      </c>
      <c r="K478">
        <v>2</v>
      </c>
      <c r="L478">
        <v>0.1</v>
      </c>
      <c r="M478">
        <v>8.91</v>
      </c>
    </row>
    <row r="479" spans="1:13">
      <c r="A479" t="s">
        <v>528</v>
      </c>
      <c r="B479" s="1">
        <v>46005.951903807872</v>
      </c>
      <c r="C479" s="1">
        <v>46011.951903807872</v>
      </c>
      <c r="D479" t="s">
        <v>14</v>
      </c>
      <c r="E479" t="s">
        <v>42</v>
      </c>
      <c r="F479" t="s">
        <v>34</v>
      </c>
      <c r="G479" t="s">
        <v>24</v>
      </c>
      <c r="H479" t="s">
        <v>25</v>
      </c>
      <c r="I479" t="s">
        <v>40</v>
      </c>
      <c r="J479">
        <v>12.36</v>
      </c>
      <c r="K479">
        <v>1</v>
      </c>
      <c r="L479">
        <v>0.15</v>
      </c>
      <c r="M479">
        <v>1.59</v>
      </c>
    </row>
    <row r="480" spans="1:13">
      <c r="A480" t="s">
        <v>529</v>
      </c>
      <c r="B480" s="1">
        <v>46006.681362719908</v>
      </c>
      <c r="C480" s="1">
        <v>46010.681362719908</v>
      </c>
      <c r="D480" t="s">
        <v>52</v>
      </c>
      <c r="E480" t="s">
        <v>22</v>
      </c>
      <c r="F480" t="s">
        <v>23</v>
      </c>
      <c r="G480" t="s">
        <v>29</v>
      </c>
      <c r="H480" t="s">
        <v>53</v>
      </c>
      <c r="I480" t="s">
        <v>55</v>
      </c>
      <c r="J480">
        <v>399.18</v>
      </c>
      <c r="K480">
        <v>3</v>
      </c>
      <c r="L480">
        <v>0.1</v>
      </c>
      <c r="M480">
        <v>81.66</v>
      </c>
    </row>
    <row r="481" spans="1:13">
      <c r="A481" t="s">
        <v>530</v>
      </c>
      <c r="B481" s="1">
        <v>46007.41082164352</v>
      </c>
      <c r="C481" s="1">
        <v>46011.41082164352</v>
      </c>
      <c r="D481" t="s">
        <v>52</v>
      </c>
      <c r="E481" t="s">
        <v>22</v>
      </c>
      <c r="F481" t="s">
        <v>16</v>
      </c>
      <c r="G481" t="s">
        <v>17</v>
      </c>
      <c r="H481" t="s">
        <v>36</v>
      </c>
      <c r="I481" t="s">
        <v>60</v>
      </c>
      <c r="J481">
        <v>4902.28</v>
      </c>
      <c r="K481">
        <v>7</v>
      </c>
      <c r="L481">
        <v>0</v>
      </c>
      <c r="M481">
        <v>664.62</v>
      </c>
    </row>
    <row r="482" spans="1:13">
      <c r="A482" t="s">
        <v>531</v>
      </c>
      <c r="B482" s="1">
        <v>46008.140280555555</v>
      </c>
      <c r="C482" s="1">
        <v>46009.140280555555</v>
      </c>
      <c r="D482" t="s">
        <v>63</v>
      </c>
      <c r="E482" t="s">
        <v>42</v>
      </c>
      <c r="F482" t="s">
        <v>16</v>
      </c>
      <c r="G482" t="s">
        <v>35</v>
      </c>
      <c r="H482" t="s">
        <v>25</v>
      </c>
      <c r="I482" t="s">
        <v>60</v>
      </c>
      <c r="J482">
        <v>953.5</v>
      </c>
      <c r="K482">
        <v>2</v>
      </c>
      <c r="L482">
        <v>0.2</v>
      </c>
      <c r="M482">
        <v>57.93</v>
      </c>
    </row>
    <row r="483" spans="1:13">
      <c r="A483" t="s">
        <v>532</v>
      </c>
      <c r="B483" s="1">
        <v>46008.869739479167</v>
      </c>
      <c r="C483" s="1">
        <v>46009.869739479167</v>
      </c>
      <c r="D483" t="s">
        <v>52</v>
      </c>
      <c r="E483" t="s">
        <v>42</v>
      </c>
      <c r="F483" t="s">
        <v>16</v>
      </c>
      <c r="G483" t="s">
        <v>17</v>
      </c>
      <c r="H483" t="s">
        <v>53</v>
      </c>
      <c r="I483" t="s">
        <v>64</v>
      </c>
      <c r="J483">
        <v>668.4</v>
      </c>
      <c r="K483">
        <v>3</v>
      </c>
      <c r="L483">
        <v>0.05</v>
      </c>
      <c r="M483">
        <v>142.49</v>
      </c>
    </row>
    <row r="484" spans="1:13">
      <c r="A484" t="s">
        <v>533</v>
      </c>
      <c r="B484" s="1">
        <v>46009.599198391203</v>
      </c>
      <c r="C484" s="1">
        <v>46014.599198391203</v>
      </c>
      <c r="D484" t="s">
        <v>14</v>
      </c>
      <c r="E484" t="s">
        <v>42</v>
      </c>
      <c r="F484" t="s">
        <v>23</v>
      </c>
      <c r="G484" t="s">
        <v>17</v>
      </c>
      <c r="H484" t="s">
        <v>30</v>
      </c>
      <c r="I484" t="s">
        <v>45</v>
      </c>
      <c r="J484">
        <v>913.31</v>
      </c>
      <c r="K484">
        <v>3</v>
      </c>
      <c r="L484">
        <v>0</v>
      </c>
      <c r="M484">
        <v>119.39</v>
      </c>
    </row>
    <row r="485" spans="1:13">
      <c r="A485" t="s">
        <v>534</v>
      </c>
      <c r="B485" s="1">
        <v>46010.328657314814</v>
      </c>
      <c r="C485" s="1">
        <v>46014.328657314814</v>
      </c>
      <c r="D485" t="s">
        <v>52</v>
      </c>
      <c r="E485" t="s">
        <v>42</v>
      </c>
      <c r="F485" t="s">
        <v>34</v>
      </c>
      <c r="G485" t="s">
        <v>29</v>
      </c>
      <c r="H485" t="s">
        <v>49</v>
      </c>
      <c r="I485" t="s">
        <v>37</v>
      </c>
      <c r="J485">
        <v>69.13</v>
      </c>
      <c r="K485">
        <v>7</v>
      </c>
      <c r="L485">
        <v>0.05</v>
      </c>
      <c r="M485">
        <v>7.47</v>
      </c>
    </row>
    <row r="486" spans="1:13">
      <c r="A486" t="s">
        <v>535</v>
      </c>
      <c r="B486" s="1">
        <v>46011.05811622685</v>
      </c>
      <c r="C486" s="1">
        <v>46015.05811622685</v>
      </c>
      <c r="D486" t="s">
        <v>28</v>
      </c>
      <c r="E486" t="s">
        <v>22</v>
      </c>
      <c r="F486" t="s">
        <v>23</v>
      </c>
      <c r="G486" t="s">
        <v>29</v>
      </c>
      <c r="H486" t="s">
        <v>49</v>
      </c>
      <c r="I486" t="s">
        <v>55</v>
      </c>
      <c r="J486">
        <v>771.69</v>
      </c>
      <c r="K486">
        <v>7</v>
      </c>
      <c r="L486">
        <v>0.15</v>
      </c>
      <c r="M486">
        <v>77.069999999999993</v>
      </c>
    </row>
    <row r="487" spans="1:13">
      <c r="A487" t="s">
        <v>536</v>
      </c>
      <c r="B487" s="1">
        <v>46011.787575150462</v>
      </c>
      <c r="C487" s="1">
        <v>46015.787575150462</v>
      </c>
      <c r="D487" t="s">
        <v>28</v>
      </c>
      <c r="E487" t="s">
        <v>42</v>
      </c>
      <c r="F487" t="s">
        <v>34</v>
      </c>
      <c r="G487" t="s">
        <v>24</v>
      </c>
      <c r="H487" t="s">
        <v>39</v>
      </c>
      <c r="I487" t="s">
        <v>95</v>
      </c>
      <c r="J487">
        <v>8.08</v>
      </c>
      <c r="K487">
        <v>1</v>
      </c>
      <c r="L487">
        <v>0.05</v>
      </c>
      <c r="M487">
        <v>1.7</v>
      </c>
    </row>
    <row r="488" spans="1:13">
      <c r="A488" t="s">
        <v>537</v>
      </c>
      <c r="B488" s="1">
        <v>46012.517034062497</v>
      </c>
      <c r="C488" s="1">
        <v>46015.517034062497</v>
      </c>
      <c r="D488" t="s">
        <v>28</v>
      </c>
      <c r="E488" t="s">
        <v>15</v>
      </c>
      <c r="F488" t="s">
        <v>34</v>
      </c>
      <c r="G488" t="s">
        <v>29</v>
      </c>
      <c r="H488" t="s">
        <v>25</v>
      </c>
      <c r="I488" t="s">
        <v>87</v>
      </c>
      <c r="J488">
        <v>174.74</v>
      </c>
      <c r="K488">
        <v>7</v>
      </c>
      <c r="L488">
        <v>0</v>
      </c>
      <c r="M488">
        <v>24.39</v>
      </c>
    </row>
    <row r="489" spans="1:13">
      <c r="A489" t="s">
        <v>538</v>
      </c>
      <c r="B489" s="1">
        <v>46013.246492986109</v>
      </c>
      <c r="C489" s="1">
        <v>46017.246492986109</v>
      </c>
      <c r="D489" t="s">
        <v>63</v>
      </c>
      <c r="E489" t="s">
        <v>42</v>
      </c>
      <c r="F489" t="s">
        <v>16</v>
      </c>
      <c r="G489" t="s">
        <v>35</v>
      </c>
      <c r="H489" t="s">
        <v>25</v>
      </c>
      <c r="I489" t="s">
        <v>64</v>
      </c>
      <c r="J489">
        <v>983.65</v>
      </c>
      <c r="K489">
        <v>5</v>
      </c>
      <c r="L489">
        <v>0.15</v>
      </c>
      <c r="M489">
        <v>34.630000000000003</v>
      </c>
    </row>
    <row r="490" spans="1:13">
      <c r="A490" t="s">
        <v>539</v>
      </c>
      <c r="B490" s="1">
        <v>46013.975951898145</v>
      </c>
      <c r="C490" s="1">
        <v>46016.975951898145</v>
      </c>
      <c r="D490" t="s">
        <v>21</v>
      </c>
      <c r="E490" t="s">
        <v>22</v>
      </c>
      <c r="F490" t="s">
        <v>23</v>
      </c>
      <c r="G490" t="s">
        <v>35</v>
      </c>
      <c r="H490" t="s">
        <v>30</v>
      </c>
      <c r="I490" t="s">
        <v>26</v>
      </c>
      <c r="J490">
        <v>4261.8900000000003</v>
      </c>
      <c r="K490">
        <v>8</v>
      </c>
      <c r="L490">
        <v>0</v>
      </c>
      <c r="M490">
        <v>704.37</v>
      </c>
    </row>
    <row r="491" spans="1:13">
      <c r="A491" t="s">
        <v>540</v>
      </c>
      <c r="B491" s="1">
        <v>46014.705410821756</v>
      </c>
      <c r="C491" s="1">
        <v>46017.705410821756</v>
      </c>
      <c r="D491" t="s">
        <v>14</v>
      </c>
      <c r="E491" t="s">
        <v>42</v>
      </c>
      <c r="F491" t="s">
        <v>34</v>
      </c>
      <c r="G491" t="s">
        <v>29</v>
      </c>
      <c r="H491" t="s">
        <v>25</v>
      </c>
      <c r="I491" t="s">
        <v>40</v>
      </c>
      <c r="J491">
        <v>82.28</v>
      </c>
      <c r="K491">
        <v>6</v>
      </c>
      <c r="L491">
        <v>0.05</v>
      </c>
      <c r="M491">
        <v>5.31</v>
      </c>
    </row>
    <row r="492" spans="1:13">
      <c r="A492" t="s">
        <v>541</v>
      </c>
      <c r="B492" s="1">
        <v>46015.434869733799</v>
      </c>
      <c r="C492" s="1">
        <v>46019.434869733799</v>
      </c>
      <c r="D492" t="s">
        <v>52</v>
      </c>
      <c r="E492" t="s">
        <v>15</v>
      </c>
      <c r="F492" t="s">
        <v>34</v>
      </c>
      <c r="G492" t="s">
        <v>24</v>
      </c>
      <c r="H492" t="s">
        <v>30</v>
      </c>
      <c r="I492" t="s">
        <v>73</v>
      </c>
      <c r="J492">
        <v>43.45</v>
      </c>
      <c r="K492">
        <v>4</v>
      </c>
      <c r="L492">
        <v>0.15</v>
      </c>
      <c r="M492">
        <v>3.43</v>
      </c>
    </row>
    <row r="493" spans="1:13">
      <c r="A493" t="s">
        <v>542</v>
      </c>
      <c r="B493" s="1">
        <v>46016.164328657411</v>
      </c>
      <c r="C493" s="1">
        <v>46020.164328657411</v>
      </c>
      <c r="D493" t="s">
        <v>14</v>
      </c>
      <c r="E493" t="s">
        <v>42</v>
      </c>
      <c r="F493" t="s">
        <v>34</v>
      </c>
      <c r="G493" t="s">
        <v>29</v>
      </c>
      <c r="H493" t="s">
        <v>39</v>
      </c>
      <c r="I493" t="s">
        <v>95</v>
      </c>
      <c r="J493">
        <v>35.15</v>
      </c>
      <c r="K493">
        <v>4</v>
      </c>
      <c r="L493">
        <v>0</v>
      </c>
      <c r="M493">
        <v>3.1</v>
      </c>
    </row>
    <row r="494" spans="1:13">
      <c r="A494" t="s">
        <v>543</v>
      </c>
      <c r="B494" s="1">
        <v>46016.893787569446</v>
      </c>
      <c r="C494" s="1">
        <v>46018.893787569446</v>
      </c>
      <c r="D494" t="s">
        <v>14</v>
      </c>
      <c r="E494" t="s">
        <v>42</v>
      </c>
      <c r="F494" t="s">
        <v>34</v>
      </c>
      <c r="G494" t="s">
        <v>29</v>
      </c>
      <c r="H494" t="s">
        <v>36</v>
      </c>
      <c r="I494" t="s">
        <v>73</v>
      </c>
      <c r="J494">
        <v>45.98</v>
      </c>
      <c r="K494">
        <v>5</v>
      </c>
      <c r="L494">
        <v>0.2</v>
      </c>
      <c r="M494">
        <v>3.41</v>
      </c>
    </row>
    <row r="495" spans="1:13">
      <c r="A495" t="s">
        <v>544</v>
      </c>
      <c r="B495" s="1">
        <v>46017.623246493058</v>
      </c>
      <c r="C495" s="1">
        <v>46020.623246493058</v>
      </c>
      <c r="D495" t="s">
        <v>63</v>
      </c>
      <c r="E495" t="s">
        <v>15</v>
      </c>
      <c r="F495" t="s">
        <v>16</v>
      </c>
      <c r="G495" t="s">
        <v>35</v>
      </c>
      <c r="H495" t="s">
        <v>18</v>
      </c>
      <c r="I495" t="s">
        <v>60</v>
      </c>
      <c r="J495">
        <v>3911.67</v>
      </c>
      <c r="K495">
        <v>8</v>
      </c>
      <c r="L495">
        <v>0.2</v>
      </c>
      <c r="M495">
        <v>618.82000000000005</v>
      </c>
    </row>
    <row r="496" spans="1:13">
      <c r="A496" t="s">
        <v>545</v>
      </c>
      <c r="B496" s="1">
        <v>46018.352705405094</v>
      </c>
      <c r="C496" s="1">
        <v>46022.352705405094</v>
      </c>
      <c r="D496" t="s">
        <v>63</v>
      </c>
      <c r="E496" t="s">
        <v>15</v>
      </c>
      <c r="F496" t="s">
        <v>34</v>
      </c>
      <c r="G496" t="s">
        <v>17</v>
      </c>
      <c r="H496" t="s">
        <v>18</v>
      </c>
      <c r="I496" t="s">
        <v>87</v>
      </c>
      <c r="J496">
        <v>135.07</v>
      </c>
      <c r="K496">
        <v>7</v>
      </c>
      <c r="L496">
        <v>0.15</v>
      </c>
      <c r="M496">
        <v>22.65</v>
      </c>
    </row>
    <row r="497" spans="1:13">
      <c r="A497" t="s">
        <v>546</v>
      </c>
      <c r="B497" s="1">
        <v>46019.082164328705</v>
      </c>
      <c r="C497" s="1">
        <v>46021.082164328705</v>
      </c>
      <c r="D497" t="s">
        <v>14</v>
      </c>
      <c r="E497" t="s">
        <v>15</v>
      </c>
      <c r="F497" t="s">
        <v>34</v>
      </c>
      <c r="G497" t="s">
        <v>24</v>
      </c>
      <c r="H497" t="s">
        <v>49</v>
      </c>
      <c r="I497" t="s">
        <v>87</v>
      </c>
      <c r="J497">
        <v>36.82</v>
      </c>
      <c r="K497">
        <v>2</v>
      </c>
      <c r="L497">
        <v>0.2</v>
      </c>
      <c r="M497">
        <v>0.47</v>
      </c>
    </row>
    <row r="498" spans="1:13">
      <c r="A498" t="s">
        <v>547</v>
      </c>
      <c r="B498" s="1">
        <v>46019.811623240741</v>
      </c>
      <c r="C498" s="1">
        <v>46023.811623240741</v>
      </c>
      <c r="D498" t="s">
        <v>52</v>
      </c>
      <c r="E498" t="s">
        <v>42</v>
      </c>
      <c r="F498" t="s">
        <v>16</v>
      </c>
      <c r="G498" t="s">
        <v>17</v>
      </c>
      <c r="H498" t="s">
        <v>30</v>
      </c>
      <c r="I498" t="s">
        <v>64</v>
      </c>
      <c r="J498">
        <v>606.25</v>
      </c>
      <c r="K498">
        <v>3</v>
      </c>
      <c r="L498">
        <v>0.1</v>
      </c>
      <c r="M498">
        <v>89.64</v>
      </c>
    </row>
    <row r="499" spans="1:13">
      <c r="A499" t="s">
        <v>548</v>
      </c>
      <c r="B499" s="1">
        <v>46020.541082164353</v>
      </c>
      <c r="C499" s="1">
        <v>46021.541082164353</v>
      </c>
      <c r="D499" t="s">
        <v>52</v>
      </c>
      <c r="E499" t="s">
        <v>42</v>
      </c>
      <c r="F499" t="s">
        <v>16</v>
      </c>
      <c r="G499" t="s">
        <v>35</v>
      </c>
      <c r="H499" t="s">
        <v>18</v>
      </c>
      <c r="I499" t="s">
        <v>19</v>
      </c>
      <c r="J499">
        <v>289.68</v>
      </c>
      <c r="K499">
        <v>2</v>
      </c>
      <c r="L499">
        <v>0.15</v>
      </c>
      <c r="M499">
        <v>34.78</v>
      </c>
    </row>
    <row r="500" spans="1:13">
      <c r="A500" t="s">
        <v>549</v>
      </c>
      <c r="B500" s="1">
        <v>46021.270541076388</v>
      </c>
      <c r="C500" s="1">
        <v>46023.270541076388</v>
      </c>
      <c r="D500" t="s">
        <v>21</v>
      </c>
      <c r="E500" t="s">
        <v>22</v>
      </c>
      <c r="F500" t="s">
        <v>34</v>
      </c>
      <c r="G500" t="s">
        <v>29</v>
      </c>
      <c r="H500" t="s">
        <v>25</v>
      </c>
      <c r="I500" t="s">
        <v>95</v>
      </c>
      <c r="J500">
        <v>49.93</v>
      </c>
      <c r="K500">
        <v>6</v>
      </c>
      <c r="L500">
        <v>0</v>
      </c>
      <c r="M500">
        <v>4.0199999999999996</v>
      </c>
    </row>
    <row r="501" spans="1:13">
      <c r="A501" t="s">
        <v>550</v>
      </c>
      <c r="B501" s="1">
        <v>46022</v>
      </c>
      <c r="C501" s="1">
        <v>46026</v>
      </c>
      <c r="D501" t="s">
        <v>28</v>
      </c>
      <c r="E501" t="s">
        <v>42</v>
      </c>
      <c r="F501" t="s">
        <v>16</v>
      </c>
      <c r="G501" t="s">
        <v>24</v>
      </c>
      <c r="H501" t="s">
        <v>49</v>
      </c>
      <c r="I501" t="s">
        <v>47</v>
      </c>
      <c r="J501">
        <v>45.82</v>
      </c>
      <c r="K501">
        <v>2</v>
      </c>
      <c r="L501">
        <v>0</v>
      </c>
      <c r="M501">
        <v>4.88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084B-BA6B-4623-8542-AF7424D0651A}">
  <dimension ref="A1:E62"/>
  <sheetViews>
    <sheetView tabSelected="1" topLeftCell="A18" workbookViewId="0">
      <selection activeCell="B21" sqref="A18:B21"/>
    </sheetView>
  </sheetViews>
  <sheetFormatPr defaultRowHeight="14.4"/>
  <cols>
    <col min="1" max="1" width="35" bestFit="1" customWidth="1"/>
    <col min="2" max="2" width="25.77734375" bestFit="1" customWidth="1"/>
    <col min="3" max="3" width="18.44140625" bestFit="1" customWidth="1"/>
    <col min="4" max="4" width="9.5546875" bestFit="1" customWidth="1"/>
  </cols>
  <sheetData>
    <row r="1" spans="1:5" ht="25.8">
      <c r="A1" s="6" t="s">
        <v>551</v>
      </c>
      <c r="B1" s="5"/>
      <c r="C1" s="5"/>
      <c r="D1" s="5"/>
      <c r="E1" s="5"/>
    </row>
    <row r="2" spans="1:5">
      <c r="A2" t="s">
        <v>552</v>
      </c>
    </row>
    <row r="3" spans="1:5">
      <c r="A3" t="s">
        <v>553</v>
      </c>
      <c r="B3" t="s">
        <v>554</v>
      </c>
      <c r="C3" t="s">
        <v>555</v>
      </c>
      <c r="D3" t="s">
        <v>556</v>
      </c>
    </row>
    <row r="4" spans="1:5" ht="28.8">
      <c r="A4" s="7" t="s">
        <v>557</v>
      </c>
      <c r="C4" s="8" t="s">
        <v>586</v>
      </c>
      <c r="D4" s="3" t="s">
        <v>587</v>
      </c>
    </row>
    <row r="5" spans="1:5">
      <c r="A5" t="s">
        <v>558</v>
      </c>
      <c r="C5" s="3" t="s">
        <v>588</v>
      </c>
      <c r="D5" s="3">
        <f>SUM(SalesData[Sales])</f>
        <v>348772.10000000009</v>
      </c>
    </row>
    <row r="6" spans="1:5">
      <c r="A6" t="s">
        <v>559</v>
      </c>
      <c r="B6" t="str">
        <f>IF(B5="","Please enter Order ID",_xlfn.XLOOKUP(B5,SalesData[Order_ID],SalesData[Customer_Name],"Not Found"))</f>
        <v>Please enter Order ID</v>
      </c>
      <c r="C6" s="3" t="s">
        <v>589</v>
      </c>
      <c r="D6" s="3">
        <f>SUM(SalesData[Profit])</f>
        <v>41085.179999999993</v>
      </c>
    </row>
    <row r="7" spans="1:5">
      <c r="A7" t="s">
        <v>5</v>
      </c>
      <c r="B7" t="str">
        <f>_xlfn.XLOOKUP(B5,SalesData[Order_ID],SalesData[Category],"Not Found")</f>
        <v>Not Found</v>
      </c>
      <c r="C7" s="3" t="s">
        <v>590</v>
      </c>
      <c r="D7" s="3">
        <f>COUNTA(SalesData[Order_ID])</f>
        <v>500</v>
      </c>
    </row>
    <row r="8" spans="1:5">
      <c r="A8" t="s">
        <v>9</v>
      </c>
      <c r="B8" t="str">
        <f>_xlfn.XLOOKUP(B5,SalesData[Order_ID],SalesData[Sales],"Not Found")</f>
        <v>Not Found</v>
      </c>
      <c r="C8" s="3" t="s">
        <v>591</v>
      </c>
      <c r="D8" s="3">
        <f>SUM(SalesData[Quantity])</f>
        <v>2253</v>
      </c>
    </row>
    <row r="9" spans="1:5">
      <c r="A9" t="s">
        <v>12</v>
      </c>
      <c r="B9" t="str">
        <f>_xlfn.XLOOKUP(B5,SalesData[Order_ID],SalesData[Profit],"Not Found")</f>
        <v>Not Found</v>
      </c>
      <c r="C9" s="3" t="s">
        <v>566</v>
      </c>
      <c r="D9" s="3">
        <f>SUMIF(SalesData[Category],"Technology",SalesData[Sales])</f>
        <v>173913.75999999995</v>
      </c>
    </row>
    <row r="10" spans="1:5">
      <c r="C10" s="3" t="s">
        <v>592</v>
      </c>
      <c r="D10" s="3">
        <f>SUMIF(SalesData[Category],"Furniture",SalesData[Sales])</f>
        <v>165469.27999999991</v>
      </c>
    </row>
    <row r="11" spans="1:5">
      <c r="A11" s="7" t="s">
        <v>560</v>
      </c>
      <c r="C11" s="3" t="s">
        <v>593</v>
      </c>
      <c r="D11" s="3">
        <f>SUMIF(SalesData[Category],"Office Supplies",SalesData[Sales])</f>
        <v>9389.06</v>
      </c>
    </row>
    <row r="12" spans="1:5">
      <c r="A12" t="s">
        <v>558</v>
      </c>
      <c r="B12" t="s">
        <v>13</v>
      </c>
      <c r="C12" s="3" t="s">
        <v>594</v>
      </c>
      <c r="D12" s="3">
        <f>SUMIF(SalesData[Region],"South",SalesData[Sales])</f>
        <v>104132</v>
      </c>
    </row>
    <row r="13" spans="1:5">
      <c r="A13" t="s">
        <v>559</v>
      </c>
      <c r="B13" t="str">
        <f>VLOOKUP(B12,SalesData[[Order_ID]:[Profit]],4,FALSE)</f>
        <v>Rahul Singh</v>
      </c>
      <c r="C13" s="3" t="s">
        <v>595</v>
      </c>
      <c r="D13" s="3">
        <f>SUMIF(SalesData[Region],"Central",SalesData[Sales])</f>
        <v>91556.839999999938</v>
      </c>
    </row>
    <row r="14" spans="1:5">
      <c r="A14" t="s">
        <v>5</v>
      </c>
      <c r="B14" t="str">
        <f>VLOOKUP(B12,SalesData[[Order_ID]:[Profit]],6,FALSE)</f>
        <v>Technology</v>
      </c>
    </row>
    <row r="15" spans="1:5">
      <c r="A15" t="s">
        <v>9</v>
      </c>
      <c r="B15">
        <f>VLOOKUP(B12,SalesData[[Order_ID]:[Profit]],10,FALSE)</f>
        <v>1092.1300000000001</v>
      </c>
    </row>
    <row r="16" spans="1:5">
      <c r="A16" t="s">
        <v>12</v>
      </c>
      <c r="B16">
        <f>VLOOKUP(B12,SalesData[[Order_ID]:[Profit]],13,FALSE)</f>
        <v>38.86</v>
      </c>
    </row>
    <row r="18" spans="1:2">
      <c r="A18" s="7" t="s">
        <v>561</v>
      </c>
    </row>
    <row r="19" spans="1:2">
      <c r="A19" t="s">
        <v>562</v>
      </c>
      <c r="B19" t="s">
        <v>13</v>
      </c>
    </row>
    <row r="20" spans="1:2">
      <c r="A20" t="s">
        <v>12</v>
      </c>
      <c r="B20">
        <f>_xlfn.XLOOKUP(B19,SalesData[Order_ID],SalesData[Profit])</f>
        <v>38.86</v>
      </c>
    </row>
    <row r="21" spans="1:2">
      <c r="A21" t="s">
        <v>563</v>
      </c>
      <c r="B21" t="str">
        <f>IF(B20&gt;0,"Profitable","Loss")</f>
        <v>Profitable</v>
      </c>
    </row>
    <row r="23" spans="1:2">
      <c r="A23" t="s">
        <v>564</v>
      </c>
      <c r="B23" t="str">
        <f>IF(B8&gt;=2000,"High Sales",IF(B8&gt;=500,"Medium Sales","Low Sales"))</f>
        <v>High Sales</v>
      </c>
    </row>
    <row r="25" spans="1:2">
      <c r="A25" s="7" t="s">
        <v>565</v>
      </c>
    </row>
    <row r="26" spans="1:2">
      <c r="A26" t="s">
        <v>5</v>
      </c>
      <c r="B26" t="s">
        <v>16</v>
      </c>
    </row>
    <row r="27" spans="1:2">
      <c r="A27" t="s">
        <v>566</v>
      </c>
      <c r="B27">
        <f>SUMIF(SalesData[Category],B26,SalesData[Sales])</f>
        <v>173913.75999999995</v>
      </c>
    </row>
    <row r="28" spans="1:2">
      <c r="A28" t="s">
        <v>6</v>
      </c>
      <c r="B28" t="s">
        <v>17</v>
      </c>
    </row>
    <row r="29" spans="1:2">
      <c r="A29" t="s">
        <v>567</v>
      </c>
      <c r="B29">
        <f>SUMIF(SalesData[Region],B28,SalesData[Sales])</f>
        <v>104132</v>
      </c>
    </row>
    <row r="31" spans="1:2">
      <c r="A31" s="7" t="s">
        <v>568</v>
      </c>
    </row>
    <row r="32" spans="1:2">
      <c r="A32" t="s">
        <v>5</v>
      </c>
      <c r="B32" t="s">
        <v>16</v>
      </c>
    </row>
    <row r="33" spans="1:2">
      <c r="A33" t="s">
        <v>6</v>
      </c>
      <c r="B33" t="s">
        <v>17</v>
      </c>
    </row>
    <row r="34" spans="1:2">
      <c r="A34" t="s">
        <v>569</v>
      </c>
      <c r="B34">
        <f>SUMIFS(SalesData[Sales],SalesData[Category],B32,SalesData[Region],B33)</f>
        <v>62362.110000000008</v>
      </c>
    </row>
    <row r="36" spans="1:2">
      <c r="A36" s="7" t="s">
        <v>570</v>
      </c>
    </row>
    <row r="37" spans="1:2">
      <c r="A37" t="s">
        <v>5</v>
      </c>
      <c r="B37" t="s">
        <v>16</v>
      </c>
    </row>
    <row r="38" spans="1:2">
      <c r="A38" t="s">
        <v>571</v>
      </c>
      <c r="B38">
        <f>COUNTIF(SalesData[Category],B37)</f>
        <v>199</v>
      </c>
    </row>
    <row r="39" spans="1:2">
      <c r="A39" t="s">
        <v>572</v>
      </c>
      <c r="B39" t="s">
        <v>21</v>
      </c>
    </row>
    <row r="40" spans="1:2">
      <c r="A40" t="s">
        <v>573</v>
      </c>
      <c r="B40">
        <f>COUNTIF(SalesData[Customer_Name],B39)</f>
        <v>101</v>
      </c>
    </row>
    <row r="42" spans="1:2">
      <c r="A42" s="7" t="s">
        <v>574</v>
      </c>
    </row>
    <row r="43" spans="1:2">
      <c r="A43" t="s">
        <v>5</v>
      </c>
      <c r="B43" t="s">
        <v>16</v>
      </c>
    </row>
    <row r="44" spans="1:2">
      <c r="A44" t="s">
        <v>6</v>
      </c>
      <c r="B44" t="s">
        <v>17</v>
      </c>
    </row>
    <row r="45" spans="1:2">
      <c r="A45" t="s">
        <v>575</v>
      </c>
      <c r="B45">
        <f>COUNTIFS(SalesData[Category],B43,SalesData[Region],B44)</f>
        <v>54</v>
      </c>
    </row>
    <row r="47" spans="1:2">
      <c r="A47" s="7" t="s">
        <v>576</v>
      </c>
    </row>
    <row r="48" spans="1:2">
      <c r="A48" t="s">
        <v>559</v>
      </c>
      <c r="B48" t="s">
        <v>14</v>
      </c>
    </row>
    <row r="49" spans="1:2">
      <c r="A49" t="s">
        <v>577</v>
      </c>
      <c r="B49" t="str">
        <f>LEFT(B48,5)</f>
        <v>Rahul</v>
      </c>
    </row>
    <row r="50" spans="1:2">
      <c r="A50" t="s">
        <v>578</v>
      </c>
      <c r="B50" t="str">
        <f>RIGHT(B48,5)</f>
        <v>Singh</v>
      </c>
    </row>
    <row r="51" spans="1:2">
      <c r="A51" t="s">
        <v>579</v>
      </c>
      <c r="B51">
        <f>LEN(B48)</f>
        <v>11</v>
      </c>
    </row>
    <row r="52" spans="1:2">
      <c r="A52" t="s">
        <v>580</v>
      </c>
      <c r="B52" t="str">
        <f>UPPER(B48)</f>
        <v>RAHUL SINGH</v>
      </c>
    </row>
    <row r="53" spans="1:2">
      <c r="A53" t="s">
        <v>581</v>
      </c>
      <c r="B53" t="str">
        <f>LOWER(B48)</f>
        <v>rahul singh</v>
      </c>
    </row>
    <row r="54" spans="1:2">
      <c r="A54" t="s">
        <v>582</v>
      </c>
      <c r="B54" t="str">
        <f>PROPER(B48)</f>
        <v>Rahul Singh</v>
      </c>
    </row>
    <row r="55" spans="1:2">
      <c r="A55" t="s">
        <v>583</v>
      </c>
      <c r="B55" t="str">
        <f>_xlfn.TEXTJOIN(" - ",TRUE,"Customer",B48,"Sales")</f>
        <v>Customer - Rahul Singh - Sales</v>
      </c>
    </row>
    <row r="58" spans="1:2">
      <c r="A58" s="7" t="s">
        <v>584</v>
      </c>
    </row>
    <row r="59" spans="1:2">
      <c r="A59" t="s">
        <v>562</v>
      </c>
      <c r="B59" t="s">
        <v>13</v>
      </c>
    </row>
    <row r="60" spans="1:2">
      <c r="A60" t="s">
        <v>559</v>
      </c>
      <c r="B60" t="str">
        <f>INDEX(SalesData[Customer_Name],MATCH(B59,SalesData[Order_ID],0))</f>
        <v>Rahul Singh</v>
      </c>
    </row>
    <row r="62" spans="1:2">
      <c r="A62" t="s">
        <v>585</v>
      </c>
      <c r="B62">
        <f>SUM(Sales_Amount1)</f>
        <v>348772.10000000009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717E-8BB8-4397-A2E0-25F4D8D2CDE9}">
  <dimension ref="A1:C17"/>
  <sheetViews>
    <sheetView workbookViewId="0">
      <selection activeCell="A21" sqref="A21"/>
    </sheetView>
  </sheetViews>
  <sheetFormatPr defaultRowHeight="14.4"/>
  <cols>
    <col min="1" max="1" width="21" customWidth="1"/>
    <col min="2" max="2" width="38.88671875" customWidth="1"/>
    <col min="3" max="3" width="26.33203125" customWidth="1"/>
  </cols>
  <sheetData>
    <row r="1" spans="1:3">
      <c r="A1" s="2" t="s">
        <v>596</v>
      </c>
      <c r="B1" s="2" t="s">
        <v>597</v>
      </c>
      <c r="C1" s="2" t="s">
        <v>598</v>
      </c>
    </row>
    <row r="2" spans="1:3">
      <c r="A2" s="3" t="s">
        <v>599</v>
      </c>
      <c r="B2" s="3" t="s">
        <v>600</v>
      </c>
      <c r="C2" s="4" t="s">
        <v>601</v>
      </c>
    </row>
    <row r="3" spans="1:3">
      <c r="A3" s="3" t="s">
        <v>602</v>
      </c>
      <c r="B3" s="3" t="s">
        <v>603</v>
      </c>
      <c r="C3" s="4" t="s">
        <v>604</v>
      </c>
    </row>
    <row r="4" spans="1:3">
      <c r="A4" s="3" t="s">
        <v>605</v>
      </c>
      <c r="B4" s="3" t="s">
        <v>606</v>
      </c>
      <c r="C4" s="4" t="s">
        <v>607</v>
      </c>
    </row>
    <row r="5" spans="1:3">
      <c r="A5" s="3" t="s">
        <v>608</v>
      </c>
      <c r="B5" s="3" t="s">
        <v>609</v>
      </c>
      <c r="C5" s="4" t="s">
        <v>610</v>
      </c>
    </row>
    <row r="6" spans="1:3">
      <c r="A6" s="3" t="s">
        <v>611</v>
      </c>
      <c r="B6" s="3" t="s">
        <v>612</v>
      </c>
      <c r="C6" s="4" t="s">
        <v>613</v>
      </c>
    </row>
    <row r="7" spans="1:3">
      <c r="A7" s="3" t="s">
        <v>614</v>
      </c>
      <c r="B7" s="3" t="s">
        <v>615</v>
      </c>
      <c r="C7" s="4" t="s">
        <v>616</v>
      </c>
    </row>
    <row r="8" spans="1:3">
      <c r="A8" s="3" t="s">
        <v>617</v>
      </c>
      <c r="B8" s="3" t="s">
        <v>618</v>
      </c>
      <c r="C8" s="4" t="s">
        <v>619</v>
      </c>
    </row>
    <row r="9" spans="1:3">
      <c r="A9" s="3" t="s">
        <v>577</v>
      </c>
      <c r="B9" s="3" t="s">
        <v>620</v>
      </c>
      <c r="C9" s="4" t="s">
        <v>621</v>
      </c>
    </row>
    <row r="10" spans="1:3">
      <c r="A10" s="3" t="s">
        <v>578</v>
      </c>
      <c r="B10" s="3" t="s">
        <v>622</v>
      </c>
      <c r="C10" s="4" t="s">
        <v>623</v>
      </c>
    </row>
    <row r="11" spans="1:3">
      <c r="A11" s="3" t="s">
        <v>579</v>
      </c>
      <c r="B11" s="3" t="s">
        <v>624</v>
      </c>
      <c r="C11" s="4" t="s">
        <v>625</v>
      </c>
    </row>
    <row r="12" spans="1:3">
      <c r="A12" s="3" t="s">
        <v>580</v>
      </c>
      <c r="B12" s="3" t="s">
        <v>626</v>
      </c>
      <c r="C12" s="4" t="s">
        <v>627</v>
      </c>
    </row>
    <row r="13" spans="1:3">
      <c r="A13" s="3" t="s">
        <v>581</v>
      </c>
      <c r="B13" s="3" t="s">
        <v>628</v>
      </c>
      <c r="C13" s="4" t="s">
        <v>629</v>
      </c>
    </row>
    <row r="14" spans="1:3">
      <c r="A14" s="3" t="s">
        <v>582</v>
      </c>
      <c r="B14" s="3" t="s">
        <v>630</v>
      </c>
      <c r="C14" s="4" t="s">
        <v>631</v>
      </c>
    </row>
    <row r="15" spans="1:3">
      <c r="A15" s="3" t="s">
        <v>583</v>
      </c>
      <c r="B15" s="3" t="s">
        <v>632</v>
      </c>
      <c r="C15" s="4" t="s">
        <v>633</v>
      </c>
    </row>
    <row r="16" spans="1:3">
      <c r="A16" s="3" t="s">
        <v>634</v>
      </c>
      <c r="B16" s="3" t="s">
        <v>635</v>
      </c>
      <c r="C16" s="4" t="s">
        <v>636</v>
      </c>
    </row>
    <row r="17" spans="1:3">
      <c r="A17" s="3" t="s">
        <v>637</v>
      </c>
      <c r="B17" s="3" t="s">
        <v>638</v>
      </c>
      <c r="C17" s="4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Day6_Formulas</vt:lpstr>
      <vt:lpstr>Formula_Notes</vt:lpstr>
      <vt:lpstr>Sales_Amount</vt:lpstr>
      <vt:lpstr>Sales_Amount1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Waghmare</dc:creator>
  <cp:lastModifiedBy>Sonali Waghmare</cp:lastModifiedBy>
  <dcterms:created xsi:type="dcterms:W3CDTF">2026-09-13T14:25:30Z</dcterms:created>
  <dcterms:modified xsi:type="dcterms:W3CDTF">2026-09-13T15:00:04Z</dcterms:modified>
</cp:coreProperties>
</file>